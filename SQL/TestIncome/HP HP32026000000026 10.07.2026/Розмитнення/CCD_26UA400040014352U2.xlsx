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<sst xmlns="http://schemas.openxmlformats.org/spreadsheetml/2006/main" count="100">
  <si>
    <t>Список товарів електронного інвойсу МД № 26UA400040014352U2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</si>
  <si>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</si>
  <si>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</si>
  <si>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</si>
  <si>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</si>
  <si>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</si>
  <si>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</si>
  <si>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</si>
  <si>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</si>
  <si>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</si>
  <si>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</si>
  <si>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</si>
  <si>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</si>
  <si>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</si>
  <si>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</si>
  <si>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</si>
  <si>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</si>
  <si>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</si>
  <si>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</si>
  <si>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</si>
  <si>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</si>
  <si>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</si>
  <si>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</si>
  <si>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</si>
  <si>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</si>
  <si>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</si>
  <si>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</si>
  <si>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7312109800</t>
  </si>
  <si>
    <t>501021 7</t>
  </si>
  <si>
    <t xml:space="preserve">Трос митний-120шт, </t>
  </si>
  <si>
    <t>TR</t>
  </si>
  <si>
    <t>HP HAKAN OTOMOTIV SANAYI IC VE DIS TIC. LTD. STI.</t>
  </si>
  <si>
    <t>HP</t>
  </si>
  <si>
    <t>796</t>
  </si>
  <si>
    <t/>
  </si>
  <si>
    <t>501021 11</t>
  </si>
  <si>
    <t xml:space="preserve">Трос митний-20шт, </t>
  </si>
  <si>
    <t>501021 6</t>
  </si>
  <si>
    <t xml:space="preserve">Трос митний-240шт, </t>
  </si>
  <si>
    <t>501021 9</t>
  </si>
  <si>
    <t xml:space="preserve">Трос митний-80шт, </t>
  </si>
  <si>
    <t>501021 8</t>
  </si>
  <si>
    <t xml:space="preserve">Трос митний-40шт, </t>
  </si>
  <si>
    <t>501021 10</t>
  </si>
  <si>
    <t xml:space="preserve">Трос митний-1000шт, </t>
  </si>
  <si>
    <t xml:space="preserve">Разом по товару МД № 1</t>
  </si>
  <si>
    <t>3917239090</t>
  </si>
  <si>
    <t>101084 4</t>
  </si>
  <si>
    <t>Трубка пневматична-400м.п</t>
  </si>
  <si>
    <t>006</t>
  </si>
  <si>
    <t>м</t>
  </si>
  <si>
    <t>101084 2</t>
  </si>
  <si>
    <t>Трубка пневматична-600м.п</t>
  </si>
  <si>
    <t>101084 1</t>
  </si>
  <si>
    <t>Трубка пневматична-750м.п</t>
  </si>
  <si>
    <t xml:space="preserve">Разом по товару МД № 2</t>
  </si>
  <si>
    <t>3923509000</t>
  </si>
  <si>
    <t>301010 0</t>
  </si>
  <si>
    <t xml:space="preserve">Кришка паливного бака-45шт, </t>
  </si>
  <si>
    <t xml:space="preserve">Разом по товару МД № 3</t>
  </si>
  <si>
    <t>4009320000</t>
  </si>
  <si>
    <t>101068 5</t>
  </si>
  <si>
    <t xml:space="preserve">Шланг підкачки комплект-30шт, </t>
  </si>
  <si>
    <t xml:space="preserve">Разом по товару МД № 4</t>
  </si>
  <si>
    <t>8536501990</t>
  </si>
  <si>
    <t>211036 0</t>
  </si>
  <si>
    <t xml:space="preserve">Вимикач маси-64шт, </t>
  </si>
  <si>
    <t xml:space="preserve">Разом по товару МД № 5</t>
  </si>
  <si>
    <t>8536699090</t>
  </si>
  <si>
    <t>211026 1</t>
  </si>
  <si>
    <t xml:space="preserve">Вилка EBS електрична-32шт, </t>
  </si>
  <si>
    <t>211008 0</t>
  </si>
  <si>
    <t xml:space="preserve">Вилка електрична-64шт, </t>
  </si>
  <si>
    <t>211029 0</t>
  </si>
  <si>
    <t xml:space="preserve">Розетка EBS електрична-32шт, </t>
  </si>
  <si>
    <t>211030 0</t>
  </si>
  <si>
    <t xml:space="preserve">Розетка EBS електрична-64шт, </t>
  </si>
  <si>
    <t>211013 0</t>
  </si>
  <si>
    <t xml:space="preserve">Розетка електрична-55шт, </t>
  </si>
  <si>
    <t>211015 0</t>
  </si>
  <si>
    <t>211026 0</t>
  </si>
  <si>
    <t>211027 0</t>
  </si>
  <si>
    <t xml:space="preserve">Разом по товару МД № 6</t>
  </si>
  <si>
    <t>8544300098</t>
  </si>
  <si>
    <t>201052 0</t>
  </si>
  <si>
    <t xml:space="preserve">Кабель ADR-20шт, </t>
  </si>
  <si>
    <t>201054 0</t>
  </si>
  <si>
    <t>201055 0</t>
  </si>
  <si>
    <t>201067 0</t>
  </si>
  <si>
    <t xml:space="preserve">Кабель ADR-10шт, </t>
  </si>
  <si>
    <t>201057 0</t>
  </si>
  <si>
    <t>201046 0</t>
  </si>
  <si>
    <t xml:space="preserve">Кабель ADR-100шт, </t>
  </si>
  <si>
    <t>201018 0</t>
  </si>
  <si>
    <t xml:space="preserve">Кабель електричний-20шт, </t>
  </si>
  <si>
    <t>201021 0</t>
  </si>
  <si>
    <t>201027 0</t>
  </si>
  <si>
    <t>201024 0</t>
  </si>
  <si>
    <t>201070 0</t>
  </si>
  <si>
    <t xml:space="preserve">Разом по товару МД № 7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</si>
</sst>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3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2" xfId="0" applyAlignment="1">
      <alignment horizontal="center" vertical="top" wrapText="1"/>
    </xf>
    <xf>
      <protection locked="0"/>
    </xf>
    <xf numFmtId="0" fontId="0" fillId="0" borderId="6" xfId="0" applyBorder="1"/>
    <xf numFmtId="50" fontId="0" fillId="0" borderId="4" xfId="0" applyBorder="1"/>
    <xf numFmtId="0" fontId="0" fillId="3" borderId="7" xfId="0" applyNumberFormat="1" applyBorder="1"/>
    <xf numFmtId="0" fontId="0" fillId="3" borderId="8" xfId="0" applyBorder="1"/>
    <xf numFmtId="0" fontId="2" fillId="0" borderId="4" xfId="0" applyBorder="1"/>
    <xf numFmtId="0" fontId="0" fillId="3" borderId="9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42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6" t="s">
        <v>27</v>
      </c>
      <c r="C5" s="2">
        <v>1</v>
      </c>
      <c r="D5" s="2"/>
      <c r="E5" s="2" t="s">
        <v>28</v>
      </c>
      <c r="F5" s="2" t="s">
        <v>29</v>
      </c>
      <c r="G5" s="6" t="s">
        <v>30</v>
      </c>
      <c r="H5" s="2" t="s">
        <v>31</v>
      </c>
      <c r="I5" s="2" t="s">
        <v>32</v>
      </c>
      <c r="J5" s="2">
        <v>199.304</v>
      </c>
      <c r="K5" s="2">
        <v>182.4</v>
      </c>
      <c r="L5" s="2">
        <v>5.4</v>
      </c>
      <c r="M5" s="2">
        <v>120</v>
      </c>
      <c r="N5" s="4" t="s">
        <v>33</v>
      </c>
      <c r="O5" s="9" t="s">
        <v>34</v>
      </c>
      <c r="P5" s="2">
        <v>648</v>
      </c>
      <c r="Q5" s="2">
        <v>0</v>
      </c>
      <c r="R5" s="6" t="s">
        <v>34</v>
      </c>
      <c r="S5" s="2"/>
      <c r="T5" s="2">
        <v>30176.91</v>
      </c>
      <c r="U5" s="2">
        <v>0</v>
      </c>
      <c r="V5" s="2"/>
      <c r="W5" s="2"/>
      <c r="X5" s="2"/>
      <c r="Y5" s="2">
        <v>6035.38</v>
      </c>
      <c r="Z5" s="2"/>
      <c r="AA5" s="10">
        <v>36212.29</v>
      </c>
    </row>
    <row r="6" ht="15">
      <c r="A6">
        <v>2</v>
      </c>
      <c r="B6" s="6"/>
      <c r="C6" s="2">
        <v>1</v>
      </c>
      <c r="D6" s="2"/>
      <c r="E6" s="2" t="s">
        <v>35</v>
      </c>
      <c r="F6" s="2" t="s">
        <v>36</v>
      </c>
      <c r="G6" s="6" t="s">
        <v>30</v>
      </c>
      <c r="H6" s="2" t="s">
        <v>31</v>
      </c>
      <c r="I6" s="2" t="s">
        <v>32</v>
      </c>
      <c r="J6" s="2">
        <v>33.021</v>
      </c>
      <c r="K6" s="2">
        <v>30.22</v>
      </c>
      <c r="L6" s="2">
        <v>6.6</v>
      </c>
      <c r="M6" s="2">
        <v>20</v>
      </c>
      <c r="N6" s="4" t="s">
        <v>33</v>
      </c>
      <c r="O6" s="9" t="s">
        <v>34</v>
      </c>
      <c r="P6" s="2">
        <v>132</v>
      </c>
      <c r="Q6" s="2">
        <v>0</v>
      </c>
      <c r="R6" s="6" t="s">
        <v>34</v>
      </c>
      <c r="S6" s="2"/>
      <c r="T6" s="2">
        <v>6100.29</v>
      </c>
      <c r="U6" s="2">
        <v>0</v>
      </c>
      <c r="V6" s="2"/>
      <c r="W6" s="2"/>
      <c r="X6" s="2"/>
      <c r="Y6" s="2">
        <v>1220.06</v>
      </c>
      <c r="Z6" s="2"/>
      <c r="AA6" s="10">
        <v>7320.35</v>
      </c>
    </row>
    <row r="7" ht="15">
      <c r="A7">
        <v>3</v>
      </c>
      <c r="B7" s="6"/>
      <c r="C7" s="2">
        <v>1</v>
      </c>
      <c r="D7" s="2"/>
      <c r="E7" s="2" t="s">
        <v>37</v>
      </c>
      <c r="F7" s="2" t="s">
        <v>38</v>
      </c>
      <c r="G7" s="6" t="s">
        <v>30</v>
      </c>
      <c r="H7" s="2" t="s">
        <v>31</v>
      </c>
      <c r="I7" s="2" t="s">
        <v>32</v>
      </c>
      <c r="J7" s="2">
        <v>396.247</v>
      </c>
      <c r="K7" s="2">
        <v>362.64</v>
      </c>
      <c r="L7" s="2">
        <v>5.1</v>
      </c>
      <c r="M7" s="2">
        <v>240</v>
      </c>
      <c r="N7" s="4" t="s">
        <v>33</v>
      </c>
      <c r="O7" s="9" t="s">
        <v>34</v>
      </c>
      <c r="P7" s="2">
        <v>1224</v>
      </c>
      <c r="Q7" s="2">
        <v>0</v>
      </c>
      <c r="R7" s="6" t="s">
        <v>34</v>
      </c>
      <c r="S7" s="2"/>
      <c r="T7" s="2">
        <v>57123.16</v>
      </c>
      <c r="U7" s="2">
        <v>0</v>
      </c>
      <c r="V7" s="2"/>
      <c r="W7" s="2"/>
      <c r="X7" s="2"/>
      <c r="Y7" s="2">
        <v>11424.63</v>
      </c>
      <c r="Z7" s="2"/>
      <c r="AA7" s="10">
        <v>68547.79</v>
      </c>
    </row>
    <row r="8" ht="15">
      <c r="A8">
        <v>4</v>
      </c>
      <c r="B8" s="6"/>
      <c r="C8" s="2">
        <v>1</v>
      </c>
      <c r="D8" s="2"/>
      <c r="E8" s="2" t="s">
        <v>39</v>
      </c>
      <c r="F8" s="2" t="s">
        <v>40</v>
      </c>
      <c r="G8" s="6" t="s">
        <v>30</v>
      </c>
      <c r="H8" s="2" t="s">
        <v>31</v>
      </c>
      <c r="I8" s="2" t="s">
        <v>32</v>
      </c>
      <c r="J8" s="2">
        <v>128.498</v>
      </c>
      <c r="K8" s="2">
        <v>117.6</v>
      </c>
      <c r="L8" s="2">
        <v>6</v>
      </c>
      <c r="M8" s="2">
        <v>80</v>
      </c>
      <c r="N8" s="4" t="s">
        <v>33</v>
      </c>
      <c r="O8" s="9" t="s">
        <v>34</v>
      </c>
      <c r="P8" s="2">
        <v>480</v>
      </c>
      <c r="Q8" s="2">
        <v>0</v>
      </c>
      <c r="R8" s="6" t="s">
        <v>34</v>
      </c>
      <c r="S8" s="2"/>
      <c r="T8" s="2">
        <v>22234.96</v>
      </c>
      <c r="U8" s="2">
        <v>0</v>
      </c>
      <c r="V8" s="2"/>
      <c r="W8" s="2"/>
      <c r="X8" s="2"/>
      <c r="Y8" s="2">
        <v>4446.99</v>
      </c>
      <c r="Z8" s="2"/>
      <c r="AA8" s="10">
        <v>26681.95</v>
      </c>
    </row>
    <row r="9" ht="15">
      <c r="A9">
        <v>5</v>
      </c>
      <c r="B9" s="6"/>
      <c r="C9" s="2">
        <v>1</v>
      </c>
      <c r="D9" s="2"/>
      <c r="E9" s="2" t="s">
        <v>41</v>
      </c>
      <c r="F9" s="2" t="s">
        <v>42</v>
      </c>
      <c r="G9" s="6" t="s">
        <v>30</v>
      </c>
      <c r="H9" s="2" t="s">
        <v>31</v>
      </c>
      <c r="I9" s="2" t="s">
        <v>32</v>
      </c>
      <c r="J9" s="2">
        <v>63.812</v>
      </c>
      <c r="K9" s="2">
        <v>58.4</v>
      </c>
      <c r="L9" s="2">
        <v>5.7</v>
      </c>
      <c r="M9" s="2">
        <v>40</v>
      </c>
      <c r="N9" s="4" t="s">
        <v>33</v>
      </c>
      <c r="O9" s="9" t="s">
        <v>34</v>
      </c>
      <c r="P9" s="2">
        <v>228</v>
      </c>
      <c r="Q9" s="2">
        <v>0</v>
      </c>
      <c r="R9" s="6" t="s">
        <v>34</v>
      </c>
      <c r="S9" s="2"/>
      <c r="T9" s="2">
        <v>10578.77</v>
      </c>
      <c r="U9" s="2">
        <v>0</v>
      </c>
      <c r="V9" s="2"/>
      <c r="W9" s="2"/>
      <c r="X9" s="2"/>
      <c r="Y9" s="2">
        <v>2115.75</v>
      </c>
      <c r="Z9" s="2"/>
      <c r="AA9" s="10">
        <v>12694.52</v>
      </c>
    </row>
    <row r="10" ht="15">
      <c r="A10">
        <v>6</v>
      </c>
      <c r="B10" s="6"/>
      <c r="C10" s="2">
        <v>1</v>
      </c>
      <c r="D10" s="2"/>
      <c r="E10" s="2" t="s">
        <v>43</v>
      </c>
      <c r="F10" s="2" t="s">
        <v>44</v>
      </c>
      <c r="G10" s="6" t="s">
        <v>30</v>
      </c>
      <c r="H10" s="2" t="s">
        <v>31</v>
      </c>
      <c r="I10" s="2" t="s">
        <v>32</v>
      </c>
      <c r="J10" s="2">
        <v>1599.675</v>
      </c>
      <c r="K10" s="2">
        <v>1464</v>
      </c>
      <c r="L10" s="2">
        <v>6.3</v>
      </c>
      <c r="M10" s="2">
        <v>1000</v>
      </c>
      <c r="N10" s="4" t="s">
        <v>33</v>
      </c>
      <c r="O10" s="9" t="s">
        <v>34</v>
      </c>
      <c r="P10" s="2">
        <v>6300</v>
      </c>
      <c r="Q10" s="2">
        <v>0</v>
      </c>
      <c r="R10" s="6" t="s">
        <v>34</v>
      </c>
      <c r="S10" s="2"/>
      <c r="T10" s="2">
        <v>291296.76</v>
      </c>
      <c r="U10" s="2">
        <v>0</v>
      </c>
      <c r="V10" s="2"/>
      <c r="W10" s="2"/>
      <c r="X10" s="2"/>
      <c r="Y10" s="13">
        <f>SUM(58259.35,0.01)</f>
        <v>0</v>
      </c>
      <c r="Z10" s="2"/>
      <c r="AA10" s="10">
        <v>349556.11</v>
      </c>
    </row>
    <row r="11" ht="15">
      <c r="A11" s="11"/>
      <c r="B11" s="11"/>
      <c r="C11" s="11"/>
      <c r="D11" s="11"/>
      <c r="E11" s="11"/>
      <c r="F11" s="11" t="s">
        <v>45</v>
      </c>
      <c r="G11" s="11"/>
      <c r="H11" s="11"/>
      <c r="I11" s="11"/>
      <c r="J11" s="11">
        <f>SUM(J5:J10)</f>
        <v>0</v>
      </c>
      <c r="K11" s="11">
        <f>SUM(K5:K10)</f>
        <v>0</v>
      </c>
      <c r="L11" s="11"/>
      <c r="M11" s="11">
        <f>SUM(M5:M10)</f>
        <v>0</v>
      </c>
      <c r="N11" s="12"/>
      <c r="O11" s="14"/>
      <c r="P11" s="11">
        <f>SUM(P5:P10)</f>
        <v>0</v>
      </c>
      <c r="Q11" s="11">
        <f>SUM(Q5:Q10)</f>
        <v>0</v>
      </c>
      <c r="R11" s="11"/>
      <c r="S11" s="11">
        <f>SUM(S5:S10)</f>
        <v>0</v>
      </c>
      <c r="T11" s="11"/>
      <c r="U11" s="11"/>
      <c r="V11" s="11"/>
      <c r="W11" s="11"/>
      <c r="X11" s="11"/>
      <c r="Y11" s="11"/>
      <c r="Z11" s="11"/>
      <c r="AA11" s="11"/>
    </row>
    <row r="12" ht="15">
      <c r="A12">
        <v>1</v>
      </c>
      <c r="B12" s="6" t="s">
        <v>46</v>
      </c>
      <c r="C12" s="2">
        <v>2</v>
      </c>
      <c r="D12" s="2"/>
      <c r="E12" s="2" t="s">
        <v>47</v>
      </c>
      <c r="F12" s="2" t="s">
        <v>48</v>
      </c>
      <c r="G12" s="6" t="s">
        <v>30</v>
      </c>
      <c r="H12" s="2" t="s">
        <v>31</v>
      </c>
      <c r="I12" s="2" t="s">
        <v>32</v>
      </c>
      <c r="J12" s="2">
        <v>24.039</v>
      </c>
      <c r="K12" s="2">
        <v>22</v>
      </c>
      <c r="L12" s="2">
        <v>0.44</v>
      </c>
      <c r="M12" s="2">
        <v>400</v>
      </c>
      <c r="N12" s="4" t="s">
        <v>49</v>
      </c>
      <c r="O12" s="9" t="s">
        <v>50</v>
      </c>
      <c r="P12" s="2">
        <v>176</v>
      </c>
      <c r="Q12" s="2">
        <v>0</v>
      </c>
      <c r="R12" s="6" t="s">
        <v>34</v>
      </c>
      <c r="S12" s="2"/>
      <c r="T12" s="2">
        <v>8010.13</v>
      </c>
      <c r="U12" s="2">
        <v>520.66</v>
      </c>
      <c r="V12" s="2"/>
      <c r="W12" s="2"/>
      <c r="X12" s="2"/>
      <c r="Y12" s="2">
        <v>1706.16</v>
      </c>
      <c r="Z12" s="2"/>
      <c r="AA12" s="10">
        <v>10236.95</v>
      </c>
    </row>
    <row r="13" ht="15">
      <c r="A13">
        <v>2</v>
      </c>
      <c r="B13" s="6"/>
      <c r="C13" s="2">
        <v>2</v>
      </c>
      <c r="D13" s="2"/>
      <c r="E13" s="2" t="s">
        <v>51</v>
      </c>
      <c r="F13" s="2" t="s">
        <v>52</v>
      </c>
      <c r="G13" s="6" t="s">
        <v>30</v>
      </c>
      <c r="H13" s="2" t="s">
        <v>31</v>
      </c>
      <c r="I13" s="2" t="s">
        <v>32</v>
      </c>
      <c r="J13" s="2">
        <v>16.39</v>
      </c>
      <c r="K13" s="2">
        <v>15</v>
      </c>
      <c r="L13" s="2">
        <v>0.22</v>
      </c>
      <c r="M13" s="2">
        <v>600</v>
      </c>
      <c r="N13" s="4" t="s">
        <v>49</v>
      </c>
      <c r="O13" s="9" t="s">
        <v>50</v>
      </c>
      <c r="P13" s="2">
        <v>132</v>
      </c>
      <c r="Q13" s="2">
        <v>0</v>
      </c>
      <c r="R13" s="6" t="s">
        <v>34</v>
      </c>
      <c r="S13" s="2"/>
      <c r="T13" s="2">
        <v>5997.46</v>
      </c>
      <c r="U13" s="2">
        <v>389.83</v>
      </c>
      <c r="V13" s="2"/>
      <c r="W13" s="2"/>
      <c r="X13" s="2"/>
      <c r="Y13" s="2">
        <v>1277.46</v>
      </c>
      <c r="Z13" s="2"/>
      <c r="AA13" s="10">
        <v>7664.75</v>
      </c>
    </row>
    <row r="14" ht="15">
      <c r="A14">
        <v>3</v>
      </c>
      <c r="B14" s="6"/>
      <c r="C14" s="2">
        <v>2</v>
      </c>
      <c r="D14" s="2"/>
      <c r="E14" s="2" t="s">
        <v>53</v>
      </c>
      <c r="F14" s="2" t="s">
        <v>54</v>
      </c>
      <c r="G14" s="6" t="s">
        <v>30</v>
      </c>
      <c r="H14" s="2" t="s">
        <v>31</v>
      </c>
      <c r="I14" s="2" t="s">
        <v>32</v>
      </c>
      <c r="J14" s="2">
        <v>15.571</v>
      </c>
      <c r="K14" s="2">
        <v>14.25</v>
      </c>
      <c r="L14" s="2">
        <v>0.16</v>
      </c>
      <c r="M14" s="2">
        <v>750</v>
      </c>
      <c r="N14" s="4" t="s">
        <v>49</v>
      </c>
      <c r="O14" s="9" t="s">
        <v>50</v>
      </c>
      <c r="P14" s="2">
        <v>120</v>
      </c>
      <c r="Q14" s="2">
        <v>0</v>
      </c>
      <c r="R14" s="6" t="s">
        <v>34</v>
      </c>
      <c r="S14" s="2"/>
      <c r="T14" s="2">
        <v>5456.39</v>
      </c>
      <c r="U14" s="2">
        <v>354.67</v>
      </c>
      <c r="V14" s="2"/>
      <c r="W14" s="2"/>
      <c r="X14" s="2"/>
      <c r="Y14" s="2">
        <v>1162.21</v>
      </c>
      <c r="Z14" s="2"/>
      <c r="AA14" s="10">
        <v>6973.27</v>
      </c>
    </row>
    <row r="15" ht="15">
      <c r="A15" s="11"/>
      <c r="B15" s="11"/>
      <c r="C15" s="11"/>
      <c r="D15" s="11"/>
      <c r="E15" s="11"/>
      <c r="F15" s="11" t="s">
        <v>55</v>
      </c>
      <c r="G15" s="11"/>
      <c r="H15" s="11"/>
      <c r="I15" s="11"/>
      <c r="J15" s="11">
        <f>SUM(J12:J14)</f>
        <v>0</v>
      </c>
      <c r="K15" s="11">
        <f>SUM(K12:K14)</f>
        <v>0</v>
      </c>
      <c r="L15" s="11"/>
      <c r="M15" s="11">
        <f>SUM(M12:M14)</f>
        <v>0</v>
      </c>
      <c r="N15" s="12"/>
      <c r="O15" s="14"/>
      <c r="P15" s="11">
        <f>SUM(P12:P14)</f>
        <v>0</v>
      </c>
      <c r="Q15" s="11">
        <f>SUM(Q12:Q14)</f>
        <v>0</v>
      </c>
      <c r="R15" s="11"/>
      <c r="S15" s="11">
        <f>SUM(S12:S14)</f>
        <v>0</v>
      </c>
      <c r="T15" s="11"/>
      <c r="U15" s="11"/>
      <c r="V15" s="11"/>
      <c r="W15" s="11"/>
      <c r="X15" s="11"/>
      <c r="Y15" s="11"/>
      <c r="Z15" s="11"/>
      <c r="AA15" s="11"/>
    </row>
    <row r="16" ht="15">
      <c r="A16">
        <v>1</v>
      </c>
      <c r="B16" s="6" t="s">
        <v>56</v>
      </c>
      <c r="C16" s="2">
        <v>3</v>
      </c>
      <c r="D16" s="2"/>
      <c r="E16" s="2" t="s">
        <v>57</v>
      </c>
      <c r="F16" s="2" t="s">
        <v>58</v>
      </c>
      <c r="G16" s="6" t="s">
        <v>30</v>
      </c>
      <c r="H16" s="2" t="s">
        <v>31</v>
      </c>
      <c r="I16" s="2" t="s">
        <v>32</v>
      </c>
      <c r="J16" s="2">
        <v>16.374</v>
      </c>
      <c r="K16" s="2">
        <v>14.985</v>
      </c>
      <c r="L16" s="2">
        <v>4.4</v>
      </c>
      <c r="M16" s="2">
        <v>45</v>
      </c>
      <c r="N16" s="4" t="s">
        <v>33</v>
      </c>
      <c r="O16" s="9" t="s">
        <v>34</v>
      </c>
      <c r="P16" s="2">
        <v>198</v>
      </c>
      <c r="Q16" s="2">
        <v>0</v>
      </c>
      <c r="R16" s="6" t="s">
        <v>34</v>
      </c>
      <c r="S16" s="2"/>
      <c r="T16" s="2">
        <v>8945.43</v>
      </c>
      <c r="U16" s="2">
        <v>581.45</v>
      </c>
      <c r="V16" s="2"/>
      <c r="W16" s="2"/>
      <c r="X16" s="2"/>
      <c r="Y16" s="2">
        <v>1905.38</v>
      </c>
      <c r="Z16" s="2"/>
      <c r="AA16" s="10">
        <v>11432.26</v>
      </c>
    </row>
    <row r="17" ht="15">
      <c r="A17" s="11"/>
      <c r="B17" s="11"/>
      <c r="C17" s="11"/>
      <c r="D17" s="11"/>
      <c r="E17" s="11"/>
      <c r="F17" s="11" t="s">
        <v>59</v>
      </c>
      <c r="G17" s="11"/>
      <c r="H17" s="11"/>
      <c r="I17" s="11"/>
      <c r="J17" s="11">
        <f>SUM(J16:J16)</f>
        <v>0</v>
      </c>
      <c r="K17" s="11">
        <f>SUM(K16:K16)</f>
        <v>0</v>
      </c>
      <c r="L17" s="11"/>
      <c r="M17" s="11">
        <f>SUM(M16:M16)</f>
        <v>0</v>
      </c>
      <c r="N17" s="12"/>
      <c r="O17" s="14"/>
      <c r="P17" s="11">
        <f>SUM(P16:P16)</f>
        <v>0</v>
      </c>
      <c r="Q17" s="11">
        <f>SUM(Q16:Q16)</f>
        <v>0</v>
      </c>
      <c r="R17" s="11"/>
      <c r="S17" s="11">
        <f>SUM(S16:S16)</f>
        <v>0</v>
      </c>
      <c r="T17" s="11"/>
      <c r="U17" s="11"/>
      <c r="V17" s="11"/>
      <c r="W17" s="11"/>
      <c r="X17" s="11"/>
      <c r="Y17" s="11"/>
      <c r="Z17" s="11"/>
      <c r="AA17" s="11"/>
    </row>
    <row r="18" ht="15">
      <c r="A18">
        <v>1</v>
      </c>
      <c r="B18" s="6" t="s">
        <v>60</v>
      </c>
      <c r="C18" s="2">
        <v>4</v>
      </c>
      <c r="D18" s="2"/>
      <c r="E18" s="2" t="s">
        <v>61</v>
      </c>
      <c r="F18" s="2" t="s">
        <v>62</v>
      </c>
      <c r="G18" s="6" t="s">
        <v>30</v>
      </c>
      <c r="H18" s="2" t="s">
        <v>31</v>
      </c>
      <c r="I18" s="2" t="s">
        <v>32</v>
      </c>
      <c r="J18" s="2">
        <v>33.403</v>
      </c>
      <c r="K18" s="2">
        <v>30.57</v>
      </c>
      <c r="L18" s="2">
        <v>10</v>
      </c>
      <c r="M18" s="2">
        <v>30</v>
      </c>
      <c r="N18" s="4" t="s">
        <v>33</v>
      </c>
      <c r="O18" s="9" t="s">
        <v>34</v>
      </c>
      <c r="P18" s="2">
        <v>300</v>
      </c>
      <c r="Q18" s="2">
        <v>0</v>
      </c>
      <c r="R18" s="6" t="s">
        <v>34</v>
      </c>
      <c r="S18" s="2"/>
      <c r="T18" s="2">
        <v>13606.81</v>
      </c>
      <c r="U18" s="2">
        <v>0</v>
      </c>
      <c r="V18" s="2"/>
      <c r="W18" s="2"/>
      <c r="X18" s="2"/>
      <c r="Y18" s="2">
        <v>2721.36</v>
      </c>
      <c r="Z18" s="2"/>
      <c r="AA18" s="10">
        <v>16328.17</v>
      </c>
    </row>
    <row r="19" ht="15">
      <c r="A19" s="11"/>
      <c r="B19" s="11"/>
      <c r="C19" s="11"/>
      <c r="D19" s="11"/>
      <c r="E19" s="11"/>
      <c r="F19" s="11" t="s">
        <v>63</v>
      </c>
      <c r="G19" s="11"/>
      <c r="H19" s="11"/>
      <c r="I19" s="11"/>
      <c r="J19" s="11">
        <f>SUM(J18:J18)</f>
        <v>0</v>
      </c>
      <c r="K19" s="11">
        <f>SUM(K18:K18)</f>
        <v>0</v>
      </c>
      <c r="L19" s="11"/>
      <c r="M19" s="11">
        <f>SUM(M18:M18)</f>
        <v>0</v>
      </c>
      <c r="N19" s="12"/>
      <c r="O19" s="14"/>
      <c r="P19" s="11">
        <f>SUM(P18:P18)</f>
        <v>0</v>
      </c>
      <c r="Q19" s="11">
        <f>SUM(Q18:Q18)</f>
        <v>0</v>
      </c>
      <c r="R19" s="11"/>
      <c r="S19" s="11">
        <f>SUM(S18:S18)</f>
        <v>0</v>
      </c>
      <c r="T19" s="11"/>
      <c r="U19" s="11"/>
      <c r="V19" s="11"/>
      <c r="W19" s="11"/>
      <c r="X19" s="11"/>
      <c r="Y19" s="11"/>
      <c r="Z19" s="11"/>
      <c r="AA19" s="11"/>
    </row>
    <row r="20" ht="15">
      <c r="A20">
        <v>1</v>
      </c>
      <c r="B20" s="6" t="s">
        <v>64</v>
      </c>
      <c r="C20" s="2">
        <v>5</v>
      </c>
      <c r="D20" s="2"/>
      <c r="E20" s="2" t="s">
        <v>65</v>
      </c>
      <c r="F20" s="2" t="s">
        <v>66</v>
      </c>
      <c r="G20" s="6" t="s">
        <v>30</v>
      </c>
      <c r="H20" s="2" t="s">
        <v>31</v>
      </c>
      <c r="I20" s="2" t="s">
        <v>32</v>
      </c>
      <c r="J20" s="2">
        <v>22.098</v>
      </c>
      <c r="K20" s="2">
        <v>20.224</v>
      </c>
      <c r="L20" s="2">
        <v>2.8</v>
      </c>
      <c r="M20" s="2">
        <v>64</v>
      </c>
      <c r="N20" s="4" t="s">
        <v>33</v>
      </c>
      <c r="O20" s="9" t="s">
        <v>34</v>
      </c>
      <c r="P20" s="2">
        <v>179.2</v>
      </c>
      <c r="Q20" s="2">
        <v>0</v>
      </c>
      <c r="R20" s="6" t="s">
        <v>34</v>
      </c>
      <c r="S20" s="2"/>
      <c r="T20" s="2">
        <v>8141.07</v>
      </c>
      <c r="U20" s="2">
        <v>407.05</v>
      </c>
      <c r="V20" s="2"/>
      <c r="W20" s="2"/>
      <c r="X20" s="2"/>
      <c r="Y20" s="2">
        <v>1709.62</v>
      </c>
      <c r="Z20" s="2"/>
      <c r="AA20" s="10">
        <v>10257.74</v>
      </c>
    </row>
    <row r="21" ht="15">
      <c r="A21" s="11"/>
      <c r="B21" s="11"/>
      <c r="C21" s="11"/>
      <c r="D21" s="11"/>
      <c r="E21" s="11"/>
      <c r="F21" s="11" t="s">
        <v>67</v>
      </c>
      <c r="G21" s="11"/>
      <c r="H21" s="11"/>
      <c r="I21" s="11"/>
      <c r="J21" s="11">
        <f>SUM(J20:J20)</f>
        <v>0</v>
      </c>
      <c r="K21" s="11">
        <f>SUM(K20:K20)</f>
        <v>0</v>
      </c>
      <c r="L21" s="11"/>
      <c r="M21" s="11">
        <f>SUM(M20:M20)</f>
        <v>0</v>
      </c>
      <c r="N21" s="12"/>
      <c r="O21" s="14"/>
      <c r="P21" s="11">
        <f>SUM(P20:P20)</f>
        <v>0</v>
      </c>
      <c r="Q21" s="11">
        <f>SUM(Q20:Q20)</f>
        <v>0</v>
      </c>
      <c r="R21" s="11"/>
      <c r="S21" s="11">
        <f>SUM(S20:S20)</f>
        <v>0</v>
      </c>
      <c r="T21" s="11"/>
      <c r="U21" s="11"/>
      <c r="V21" s="11"/>
      <c r="W21" s="11"/>
      <c r="X21" s="11"/>
      <c r="Y21" s="11"/>
      <c r="Z21" s="11"/>
      <c r="AA21" s="11"/>
    </row>
    <row r="22" ht="15">
      <c r="A22">
        <v>1</v>
      </c>
      <c r="B22" s="6" t="s">
        <v>68</v>
      </c>
      <c r="C22" s="2">
        <v>6</v>
      </c>
      <c r="D22" s="2"/>
      <c r="E22" s="2" t="s">
        <v>69</v>
      </c>
      <c r="F22" s="2" t="s">
        <v>70</v>
      </c>
      <c r="G22" s="6" t="s">
        <v>30</v>
      </c>
      <c r="H22" s="2" t="s">
        <v>31</v>
      </c>
      <c r="I22" s="2" t="s">
        <v>32</v>
      </c>
      <c r="J22" s="2">
        <v>8.916</v>
      </c>
      <c r="K22" s="2">
        <v>8.16</v>
      </c>
      <c r="L22" s="2">
        <v>3.5</v>
      </c>
      <c r="M22" s="2">
        <v>32</v>
      </c>
      <c r="N22" s="4" t="s">
        <v>33</v>
      </c>
      <c r="O22" s="9" t="s">
        <v>34</v>
      </c>
      <c r="P22" s="2">
        <v>112</v>
      </c>
      <c r="Q22" s="2">
        <v>0</v>
      </c>
      <c r="R22" s="6" t="s">
        <v>34</v>
      </c>
      <c r="S22" s="2"/>
      <c r="T22" s="2">
        <v>5057.9</v>
      </c>
      <c r="U22" s="2">
        <v>252.9</v>
      </c>
      <c r="V22" s="2"/>
      <c r="W22" s="2"/>
      <c r="X22" s="2"/>
      <c r="Y22" s="2">
        <v>1062.16</v>
      </c>
      <c r="Z22" s="2"/>
      <c r="AA22" s="10">
        <v>6372.96</v>
      </c>
    </row>
    <row r="23" ht="15">
      <c r="A23">
        <v>2</v>
      </c>
      <c r="B23" s="6"/>
      <c r="C23" s="2">
        <v>6</v>
      </c>
      <c r="D23" s="2"/>
      <c r="E23" s="2" t="s">
        <v>71</v>
      </c>
      <c r="F23" s="2" t="s">
        <v>72</v>
      </c>
      <c r="G23" s="6" t="s">
        <v>30</v>
      </c>
      <c r="H23" s="2" t="s">
        <v>31</v>
      </c>
      <c r="I23" s="2" t="s">
        <v>32</v>
      </c>
      <c r="J23" s="2">
        <v>17.693</v>
      </c>
      <c r="K23" s="2">
        <v>16.192</v>
      </c>
      <c r="L23" s="2">
        <v>1.95</v>
      </c>
      <c r="M23" s="2">
        <v>64</v>
      </c>
      <c r="N23" s="4" t="s">
        <v>33</v>
      </c>
      <c r="O23" s="9" t="s">
        <v>34</v>
      </c>
      <c r="P23" s="2">
        <v>124.8</v>
      </c>
      <c r="Q23" s="2">
        <v>0</v>
      </c>
      <c r="R23" s="6" t="s">
        <v>34</v>
      </c>
      <c r="S23" s="2"/>
      <c r="T23" s="2">
        <v>5683.91</v>
      </c>
      <c r="U23" s="2">
        <v>284.2</v>
      </c>
      <c r="V23" s="2"/>
      <c r="W23" s="2"/>
      <c r="X23" s="2"/>
      <c r="Y23" s="2">
        <v>1193.62</v>
      </c>
      <c r="Z23" s="2"/>
      <c r="AA23" s="10">
        <v>7161.73</v>
      </c>
    </row>
    <row r="24" ht="15">
      <c r="A24">
        <v>3</v>
      </c>
      <c r="B24" s="6"/>
      <c r="C24" s="2">
        <v>6</v>
      </c>
      <c r="D24" s="2"/>
      <c r="E24" s="2" t="s">
        <v>73</v>
      </c>
      <c r="F24" s="2" t="s">
        <v>74</v>
      </c>
      <c r="G24" s="6" t="s">
        <v>30</v>
      </c>
      <c r="H24" s="2" t="s">
        <v>31</v>
      </c>
      <c r="I24" s="2" t="s">
        <v>32</v>
      </c>
      <c r="J24" s="2">
        <v>6.923</v>
      </c>
      <c r="K24" s="2">
        <v>6.336</v>
      </c>
      <c r="L24" s="2">
        <v>4</v>
      </c>
      <c r="M24" s="2">
        <v>32</v>
      </c>
      <c r="N24" s="4" t="s">
        <v>33</v>
      </c>
      <c r="O24" s="9" t="s">
        <v>34</v>
      </c>
      <c r="P24" s="2">
        <v>128</v>
      </c>
      <c r="Q24" s="2">
        <v>0</v>
      </c>
      <c r="R24" s="6" t="s">
        <v>34</v>
      </c>
      <c r="S24" s="2"/>
      <c r="T24" s="2">
        <v>5760.26</v>
      </c>
      <c r="U24" s="2">
        <v>288.01</v>
      </c>
      <c r="V24" s="2"/>
      <c r="W24" s="2"/>
      <c r="X24" s="2"/>
      <c r="Y24" s="2">
        <v>1209.65</v>
      </c>
      <c r="Z24" s="2"/>
      <c r="AA24" s="10">
        <v>7257.92</v>
      </c>
    </row>
    <row r="25" ht="15">
      <c r="A25">
        <v>4</v>
      </c>
      <c r="B25" s="6"/>
      <c r="C25" s="2">
        <v>6</v>
      </c>
      <c r="D25" s="2"/>
      <c r="E25" s="2" t="s">
        <v>75</v>
      </c>
      <c r="F25" s="2" t="s">
        <v>76</v>
      </c>
      <c r="G25" s="6" t="s">
        <v>30</v>
      </c>
      <c r="H25" s="2" t="s">
        <v>31</v>
      </c>
      <c r="I25" s="2" t="s">
        <v>32</v>
      </c>
      <c r="J25" s="2">
        <v>13.776</v>
      </c>
      <c r="K25" s="2">
        <v>12.608</v>
      </c>
      <c r="L25" s="2">
        <v>5</v>
      </c>
      <c r="M25" s="2">
        <v>64</v>
      </c>
      <c r="N25" s="4" t="s">
        <v>33</v>
      </c>
      <c r="O25" s="9" t="s">
        <v>34</v>
      </c>
      <c r="P25" s="2">
        <v>320</v>
      </c>
      <c r="Q25" s="2">
        <v>0</v>
      </c>
      <c r="R25" s="6" t="s">
        <v>34</v>
      </c>
      <c r="S25" s="2"/>
      <c r="T25" s="2">
        <v>14378.81</v>
      </c>
      <c r="U25" s="13">
        <f>SUM(718.94,-0.01)</f>
        <v>0</v>
      </c>
      <c r="V25" s="2"/>
      <c r="W25" s="2"/>
      <c r="X25" s="2"/>
      <c r="Y25" s="2">
        <v>3019.55</v>
      </c>
      <c r="Z25" s="2"/>
      <c r="AA25" s="10">
        <v>18117.3</v>
      </c>
    </row>
    <row r="26" ht="15">
      <c r="A26">
        <v>5</v>
      </c>
      <c r="B26" s="6"/>
      <c r="C26" s="2">
        <v>6</v>
      </c>
      <c r="D26" s="2"/>
      <c r="E26" s="2" t="s">
        <v>77</v>
      </c>
      <c r="F26" s="2" t="s">
        <v>78</v>
      </c>
      <c r="G26" s="6" t="s">
        <v>30</v>
      </c>
      <c r="H26" s="2" t="s">
        <v>31</v>
      </c>
      <c r="I26" s="2" t="s">
        <v>32</v>
      </c>
      <c r="J26" s="2">
        <v>9.676</v>
      </c>
      <c r="K26" s="2">
        <v>8.855</v>
      </c>
      <c r="L26" s="2">
        <v>2.4</v>
      </c>
      <c r="M26" s="2">
        <v>55</v>
      </c>
      <c r="N26" s="4" t="s">
        <v>33</v>
      </c>
      <c r="O26" s="9" t="s">
        <v>34</v>
      </c>
      <c r="P26" s="2">
        <v>132</v>
      </c>
      <c r="Q26" s="2">
        <v>0</v>
      </c>
      <c r="R26" s="6" t="s">
        <v>34</v>
      </c>
      <c r="S26" s="2"/>
      <c r="T26" s="2">
        <v>5955.95</v>
      </c>
      <c r="U26" s="2">
        <v>297.8</v>
      </c>
      <c r="V26" s="2"/>
      <c r="W26" s="2"/>
      <c r="X26" s="2"/>
      <c r="Y26" s="2">
        <v>1250.75</v>
      </c>
      <c r="Z26" s="2"/>
      <c r="AA26" s="10">
        <v>7504.5</v>
      </c>
    </row>
    <row r="27" ht="15">
      <c r="A27">
        <v>6</v>
      </c>
      <c r="B27" s="6"/>
      <c r="C27" s="2">
        <v>6</v>
      </c>
      <c r="D27" s="2"/>
      <c r="E27" s="2" t="s">
        <v>79</v>
      </c>
      <c r="F27" s="2" t="s">
        <v>78</v>
      </c>
      <c r="G27" s="6" t="s">
        <v>30</v>
      </c>
      <c r="H27" s="2" t="s">
        <v>31</v>
      </c>
      <c r="I27" s="2" t="s">
        <v>32</v>
      </c>
      <c r="J27" s="2">
        <v>7.091</v>
      </c>
      <c r="K27" s="2">
        <v>6.49</v>
      </c>
      <c r="L27" s="2">
        <v>2</v>
      </c>
      <c r="M27" s="2">
        <v>55</v>
      </c>
      <c r="N27" s="4" t="s">
        <v>33</v>
      </c>
      <c r="O27" s="9" t="s">
        <v>34</v>
      </c>
      <c r="P27" s="2">
        <v>110</v>
      </c>
      <c r="Q27" s="2">
        <v>0</v>
      </c>
      <c r="R27" s="6" t="s">
        <v>34</v>
      </c>
      <c r="S27" s="2"/>
      <c r="T27" s="2">
        <v>4957.28</v>
      </c>
      <c r="U27" s="2">
        <v>247.86</v>
      </c>
      <c r="V27" s="2"/>
      <c r="W27" s="2"/>
      <c r="X27" s="2"/>
      <c r="Y27" s="2">
        <v>1041.03</v>
      </c>
      <c r="Z27" s="2"/>
      <c r="AA27" s="10">
        <v>6246.17</v>
      </c>
    </row>
    <row r="28" ht="15">
      <c r="A28">
        <v>7</v>
      </c>
      <c r="B28" s="6"/>
      <c r="C28" s="2">
        <v>6</v>
      </c>
      <c r="D28" s="2"/>
      <c r="E28" s="2" t="s">
        <v>80</v>
      </c>
      <c r="F28" s="2" t="s">
        <v>70</v>
      </c>
      <c r="G28" s="6" t="s">
        <v>30</v>
      </c>
      <c r="H28" s="2" t="s">
        <v>31</v>
      </c>
      <c r="I28" s="2" t="s">
        <v>32</v>
      </c>
      <c r="J28" s="2">
        <v>8.042</v>
      </c>
      <c r="K28" s="2">
        <v>7.36</v>
      </c>
      <c r="L28" s="2">
        <v>4</v>
      </c>
      <c r="M28" s="2">
        <v>32</v>
      </c>
      <c r="N28" s="4" t="s">
        <v>33</v>
      </c>
      <c r="O28" s="9" t="s">
        <v>34</v>
      </c>
      <c r="P28" s="2">
        <v>128</v>
      </c>
      <c r="Q28" s="2">
        <v>0</v>
      </c>
      <c r="R28" s="6" t="s">
        <v>34</v>
      </c>
      <c r="S28" s="2"/>
      <c r="T28" s="2">
        <v>5767.18</v>
      </c>
      <c r="U28" s="2">
        <v>288.36</v>
      </c>
      <c r="V28" s="2"/>
      <c r="W28" s="2"/>
      <c r="X28" s="2"/>
      <c r="Y28" s="2">
        <v>1211.11</v>
      </c>
      <c r="Z28" s="2"/>
      <c r="AA28" s="10">
        <v>7266.65</v>
      </c>
    </row>
    <row r="29" ht="15">
      <c r="A29">
        <v>8</v>
      </c>
      <c r="B29" s="6"/>
      <c r="C29" s="2">
        <v>6</v>
      </c>
      <c r="D29" s="2"/>
      <c r="E29" s="2" t="s">
        <v>81</v>
      </c>
      <c r="F29" s="2" t="s">
        <v>70</v>
      </c>
      <c r="G29" s="6" t="s">
        <v>30</v>
      </c>
      <c r="H29" s="2" t="s">
        <v>31</v>
      </c>
      <c r="I29" s="2" t="s">
        <v>32</v>
      </c>
      <c r="J29" s="2">
        <v>10.14</v>
      </c>
      <c r="K29" s="2">
        <v>9.28</v>
      </c>
      <c r="L29" s="2">
        <v>5.5</v>
      </c>
      <c r="M29" s="2">
        <v>32</v>
      </c>
      <c r="N29" s="4" t="s">
        <v>33</v>
      </c>
      <c r="O29" s="9" t="s">
        <v>34</v>
      </c>
      <c r="P29" s="2">
        <v>176</v>
      </c>
      <c r="Q29" s="2">
        <v>0</v>
      </c>
      <c r="R29" s="6" t="s">
        <v>34</v>
      </c>
      <c r="S29" s="2"/>
      <c r="T29" s="2">
        <v>7924.19</v>
      </c>
      <c r="U29" s="2">
        <v>396.21</v>
      </c>
      <c r="V29" s="2"/>
      <c r="W29" s="2"/>
      <c r="X29" s="2"/>
      <c r="Y29" s="2">
        <v>1664.08</v>
      </c>
      <c r="Z29" s="2"/>
      <c r="AA29" s="10">
        <v>9984.48</v>
      </c>
    </row>
    <row r="30" ht="15">
      <c r="A30" s="11"/>
      <c r="B30" s="11"/>
      <c r="C30" s="11"/>
      <c r="D30" s="11"/>
      <c r="E30" s="11"/>
      <c r="F30" s="11" t="s">
        <v>82</v>
      </c>
      <c r="G30" s="11"/>
      <c r="H30" s="11"/>
      <c r="I30" s="11"/>
      <c r="J30" s="11">
        <f>SUM(J22:J29)</f>
        <v>0</v>
      </c>
      <c r="K30" s="11">
        <f>SUM(K22:K29)</f>
        <v>0</v>
      </c>
      <c r="L30" s="11"/>
      <c r="M30" s="11">
        <f>SUM(M22:M29)</f>
        <v>0</v>
      </c>
      <c r="N30" s="12"/>
      <c r="O30" s="14"/>
      <c r="P30" s="11">
        <f>SUM(P22:P29)</f>
        <v>0</v>
      </c>
      <c r="Q30" s="11">
        <f>SUM(Q22:Q29)</f>
        <v>0</v>
      </c>
      <c r="R30" s="11"/>
      <c r="S30" s="11">
        <f>SUM(S22:S29)</f>
        <v>0</v>
      </c>
      <c r="T30" s="11"/>
      <c r="U30" s="11"/>
      <c r="V30" s="11"/>
      <c r="W30" s="11"/>
      <c r="X30" s="11"/>
      <c r="Y30" s="11"/>
      <c r="Z30" s="11"/>
      <c r="AA30" s="11"/>
    </row>
    <row r="31" ht="15">
      <c r="A31">
        <v>1</v>
      </c>
      <c r="B31" s="6" t="s">
        <v>83</v>
      </c>
      <c r="C31" s="2">
        <v>7</v>
      </c>
      <c r="D31" s="2"/>
      <c r="E31" s="2" t="s">
        <v>84</v>
      </c>
      <c r="F31" s="2" t="s">
        <v>85</v>
      </c>
      <c r="G31" s="6" t="s">
        <v>30</v>
      </c>
      <c r="H31" s="2" t="s">
        <v>31</v>
      </c>
      <c r="I31" s="2" t="s">
        <v>32</v>
      </c>
      <c r="J31" s="2">
        <v>43.314</v>
      </c>
      <c r="K31" s="2">
        <v>39.64</v>
      </c>
      <c r="L31" s="2">
        <v>34</v>
      </c>
      <c r="M31" s="2">
        <v>20</v>
      </c>
      <c r="N31" s="4" t="s">
        <v>33</v>
      </c>
      <c r="O31" s="9" t="s">
        <v>34</v>
      </c>
      <c r="P31" s="2">
        <v>680</v>
      </c>
      <c r="Q31" s="2">
        <v>0</v>
      </c>
      <c r="R31" s="6" t="s">
        <v>34</v>
      </c>
      <c r="S31" s="2"/>
      <c r="T31" s="2">
        <v>30641.78</v>
      </c>
      <c r="U31" s="2">
        <v>612.84</v>
      </c>
      <c r="V31" s="2"/>
      <c r="W31" s="2"/>
      <c r="X31" s="2"/>
      <c r="Y31" s="2">
        <v>6250.92</v>
      </c>
      <c r="Z31" s="2"/>
      <c r="AA31" s="10">
        <v>37505.54</v>
      </c>
    </row>
    <row r="32" ht="15">
      <c r="A32">
        <v>2</v>
      </c>
      <c r="B32" s="6"/>
      <c r="C32" s="2">
        <v>7</v>
      </c>
      <c r="D32" s="2"/>
      <c r="E32" s="2" t="s">
        <v>86</v>
      </c>
      <c r="F32" s="2" t="s">
        <v>85</v>
      </c>
      <c r="G32" s="6" t="s">
        <v>30</v>
      </c>
      <c r="H32" s="2" t="s">
        <v>31</v>
      </c>
      <c r="I32" s="2" t="s">
        <v>32</v>
      </c>
      <c r="J32" s="2">
        <v>33.021</v>
      </c>
      <c r="K32" s="2">
        <v>30.22</v>
      </c>
      <c r="L32" s="2">
        <v>23</v>
      </c>
      <c r="M32" s="2">
        <v>20</v>
      </c>
      <c r="N32" s="4" t="s">
        <v>33</v>
      </c>
      <c r="O32" s="9" t="s">
        <v>34</v>
      </c>
      <c r="P32" s="2">
        <v>460</v>
      </c>
      <c r="Q32" s="2">
        <v>0</v>
      </c>
      <c r="R32" s="6" t="s">
        <v>34</v>
      </c>
      <c r="S32" s="2"/>
      <c r="T32" s="2">
        <v>20751.27</v>
      </c>
      <c r="U32" s="2">
        <v>415.03</v>
      </c>
      <c r="V32" s="2"/>
      <c r="W32" s="2"/>
      <c r="X32" s="2"/>
      <c r="Y32" s="2">
        <v>4233.26</v>
      </c>
      <c r="Z32" s="2"/>
      <c r="AA32" s="10">
        <v>25399.56</v>
      </c>
    </row>
    <row r="33" ht="15">
      <c r="A33">
        <v>3</v>
      </c>
      <c r="B33" s="6"/>
      <c r="C33" s="2">
        <v>7</v>
      </c>
      <c r="D33" s="2"/>
      <c r="E33" s="2" t="s">
        <v>87</v>
      </c>
      <c r="F33" s="2" t="s">
        <v>85</v>
      </c>
      <c r="G33" s="6" t="s">
        <v>30</v>
      </c>
      <c r="H33" s="2" t="s">
        <v>31</v>
      </c>
      <c r="I33" s="2" t="s">
        <v>32</v>
      </c>
      <c r="J33" s="2">
        <v>31.36</v>
      </c>
      <c r="K33" s="2">
        <v>28.7</v>
      </c>
      <c r="L33" s="2">
        <v>25</v>
      </c>
      <c r="M33" s="2">
        <v>20</v>
      </c>
      <c r="N33" s="4" t="s">
        <v>33</v>
      </c>
      <c r="O33" s="9" t="s">
        <v>34</v>
      </c>
      <c r="P33" s="2">
        <v>500</v>
      </c>
      <c r="Q33" s="2">
        <v>0</v>
      </c>
      <c r="R33" s="6" t="s">
        <v>34</v>
      </c>
      <c r="S33" s="2"/>
      <c r="T33" s="2">
        <v>22527.7</v>
      </c>
      <c r="U33" s="2">
        <v>450.55</v>
      </c>
      <c r="V33" s="2"/>
      <c r="W33" s="2"/>
      <c r="X33" s="2"/>
      <c r="Y33" s="2">
        <v>4595.65</v>
      </c>
      <c r="Z33" s="2"/>
      <c r="AA33" s="10">
        <v>27573.9</v>
      </c>
    </row>
    <row r="34" ht="15">
      <c r="A34">
        <v>4</v>
      </c>
      <c r="B34" s="6"/>
      <c r="C34" s="2">
        <v>7</v>
      </c>
      <c r="D34" s="2"/>
      <c r="E34" s="2" t="s">
        <v>88</v>
      </c>
      <c r="F34" s="2" t="s">
        <v>89</v>
      </c>
      <c r="G34" s="6" t="s">
        <v>30</v>
      </c>
      <c r="H34" s="2" t="s">
        <v>31</v>
      </c>
      <c r="I34" s="2" t="s">
        <v>32</v>
      </c>
      <c r="J34" s="2">
        <v>14.959</v>
      </c>
      <c r="K34" s="2">
        <v>13.69</v>
      </c>
      <c r="L34" s="2">
        <v>25</v>
      </c>
      <c r="M34" s="2">
        <v>10</v>
      </c>
      <c r="N34" s="4" t="s">
        <v>33</v>
      </c>
      <c r="O34" s="9" t="s">
        <v>34</v>
      </c>
      <c r="P34" s="2">
        <v>250</v>
      </c>
      <c r="Q34" s="2">
        <v>0</v>
      </c>
      <c r="R34" s="6" t="s">
        <v>34</v>
      </c>
      <c r="S34" s="2"/>
      <c r="T34" s="2">
        <v>11259.39</v>
      </c>
      <c r="U34" s="2">
        <v>225.19</v>
      </c>
      <c r="V34" s="2"/>
      <c r="W34" s="2"/>
      <c r="X34" s="2"/>
      <c r="Y34" s="2">
        <v>2296.92</v>
      </c>
      <c r="Z34" s="2"/>
      <c r="AA34" s="10">
        <v>13781.5</v>
      </c>
    </row>
    <row r="35" ht="15">
      <c r="A35">
        <v>5</v>
      </c>
      <c r="B35" s="6"/>
      <c r="C35" s="2">
        <v>7</v>
      </c>
      <c r="D35" s="2"/>
      <c r="E35" s="2" t="s">
        <v>90</v>
      </c>
      <c r="F35" s="2" t="s">
        <v>89</v>
      </c>
      <c r="G35" s="6" t="s">
        <v>30</v>
      </c>
      <c r="H35" s="2" t="s">
        <v>31</v>
      </c>
      <c r="I35" s="2" t="s">
        <v>32</v>
      </c>
      <c r="J35" s="2">
        <v>14.445</v>
      </c>
      <c r="K35" s="2">
        <v>13.22</v>
      </c>
      <c r="L35" s="2">
        <v>21.75</v>
      </c>
      <c r="M35" s="2">
        <v>10</v>
      </c>
      <c r="N35" s="4" t="s">
        <v>33</v>
      </c>
      <c r="O35" s="9" t="s">
        <v>34</v>
      </c>
      <c r="P35" s="2">
        <v>217.5</v>
      </c>
      <c r="Q35" s="2">
        <v>0</v>
      </c>
      <c r="R35" s="6" t="s">
        <v>34</v>
      </c>
      <c r="S35" s="2"/>
      <c r="T35" s="2">
        <v>9804.52</v>
      </c>
      <c r="U35" s="2">
        <v>196.09</v>
      </c>
      <c r="V35" s="2"/>
      <c r="W35" s="2"/>
      <c r="X35" s="2"/>
      <c r="Y35" s="2">
        <v>2000.12</v>
      </c>
      <c r="Z35" s="2"/>
      <c r="AA35" s="10">
        <v>12000.73</v>
      </c>
    </row>
    <row r="36" ht="15">
      <c r="A36">
        <v>6</v>
      </c>
      <c r="B36" s="6"/>
      <c r="C36" s="2">
        <v>7</v>
      </c>
      <c r="D36" s="2"/>
      <c r="E36" s="2" t="s">
        <v>91</v>
      </c>
      <c r="F36" s="2" t="s">
        <v>92</v>
      </c>
      <c r="G36" s="6" t="s">
        <v>30</v>
      </c>
      <c r="H36" s="2" t="s">
        <v>31</v>
      </c>
      <c r="I36" s="2" t="s">
        <v>32</v>
      </c>
      <c r="J36" s="2">
        <v>128.498</v>
      </c>
      <c r="K36" s="2">
        <v>117.6</v>
      </c>
      <c r="L36" s="2">
        <v>20.5</v>
      </c>
      <c r="M36" s="2">
        <v>100</v>
      </c>
      <c r="N36" s="4" t="s">
        <v>33</v>
      </c>
      <c r="O36" s="9" t="s">
        <v>34</v>
      </c>
      <c r="P36" s="2">
        <v>2050</v>
      </c>
      <c r="Q36" s="2">
        <v>0</v>
      </c>
      <c r="R36" s="6" t="s">
        <v>34</v>
      </c>
      <c r="S36" s="2"/>
      <c r="T36" s="13">
        <f>SUM(92363.09,-0.02)</f>
        <v>0</v>
      </c>
      <c r="U36" s="2">
        <v>1847.26</v>
      </c>
      <c r="V36" s="2"/>
      <c r="W36" s="2"/>
      <c r="X36" s="2"/>
      <c r="Y36" s="13">
        <f>SUM(18842.07,-0.01)</f>
        <v>0</v>
      </c>
      <c r="Z36" s="2"/>
      <c r="AA36" s="10">
        <v>113052.42</v>
      </c>
    </row>
    <row r="37" ht="15">
      <c r="A37">
        <v>7</v>
      </c>
      <c r="B37" s="6"/>
      <c r="C37" s="2">
        <v>7</v>
      </c>
      <c r="D37" s="2"/>
      <c r="E37" s="2" t="s">
        <v>93</v>
      </c>
      <c r="F37" s="2" t="s">
        <v>94</v>
      </c>
      <c r="G37" s="6" t="s">
        <v>30</v>
      </c>
      <c r="H37" s="2" t="s">
        <v>31</v>
      </c>
      <c r="I37" s="2" t="s">
        <v>32</v>
      </c>
      <c r="J37" s="2">
        <v>16.106</v>
      </c>
      <c r="K37" s="2">
        <v>14.74</v>
      </c>
      <c r="L37" s="2">
        <v>12.25</v>
      </c>
      <c r="M37" s="2">
        <v>20</v>
      </c>
      <c r="N37" s="4" t="s">
        <v>33</v>
      </c>
      <c r="O37" s="9" t="s">
        <v>34</v>
      </c>
      <c r="P37" s="2">
        <v>245</v>
      </c>
      <c r="Q37" s="2">
        <v>0</v>
      </c>
      <c r="R37" s="6" t="s">
        <v>34</v>
      </c>
      <c r="S37" s="2"/>
      <c r="T37" s="2">
        <v>11043.15</v>
      </c>
      <c r="U37" s="2">
        <v>220.86</v>
      </c>
      <c r="V37" s="2"/>
      <c r="W37" s="2"/>
      <c r="X37" s="2"/>
      <c r="Y37" s="2">
        <v>2252.8</v>
      </c>
      <c r="Z37" s="2"/>
      <c r="AA37" s="10">
        <v>13516.81</v>
      </c>
    </row>
    <row r="38" ht="15">
      <c r="A38">
        <v>8</v>
      </c>
      <c r="B38" s="6"/>
      <c r="C38" s="2">
        <v>7</v>
      </c>
      <c r="D38" s="2"/>
      <c r="E38" s="2" t="s">
        <v>95</v>
      </c>
      <c r="F38" s="2" t="s">
        <v>94</v>
      </c>
      <c r="G38" s="6" t="s">
        <v>30</v>
      </c>
      <c r="H38" s="2" t="s">
        <v>31</v>
      </c>
      <c r="I38" s="2" t="s">
        <v>32</v>
      </c>
      <c r="J38" s="2">
        <v>16.106</v>
      </c>
      <c r="K38" s="2">
        <v>14.74</v>
      </c>
      <c r="L38" s="2">
        <v>12.25</v>
      </c>
      <c r="M38" s="2">
        <v>20</v>
      </c>
      <c r="N38" s="4" t="s">
        <v>33</v>
      </c>
      <c r="O38" s="9" t="s">
        <v>34</v>
      </c>
      <c r="P38" s="2">
        <v>245</v>
      </c>
      <c r="Q38" s="2">
        <v>0</v>
      </c>
      <c r="R38" s="6" t="s">
        <v>34</v>
      </c>
      <c r="S38" s="2"/>
      <c r="T38" s="2">
        <v>11043.15</v>
      </c>
      <c r="U38" s="2">
        <v>220.86</v>
      </c>
      <c r="V38" s="2"/>
      <c r="W38" s="2"/>
      <c r="X38" s="2"/>
      <c r="Y38" s="2">
        <v>2252.8</v>
      </c>
      <c r="Z38" s="2"/>
      <c r="AA38" s="10">
        <v>13516.81</v>
      </c>
    </row>
    <row r="39" ht="15">
      <c r="A39">
        <v>9</v>
      </c>
      <c r="B39" s="6"/>
      <c r="C39" s="2">
        <v>7</v>
      </c>
      <c r="D39" s="2"/>
      <c r="E39" s="2" t="s">
        <v>96</v>
      </c>
      <c r="F39" s="2" t="s">
        <v>94</v>
      </c>
      <c r="G39" s="6" t="s">
        <v>30</v>
      </c>
      <c r="H39" s="2" t="s">
        <v>31</v>
      </c>
      <c r="I39" s="2" t="s">
        <v>32</v>
      </c>
      <c r="J39" s="2">
        <v>15.166</v>
      </c>
      <c r="K39" s="2">
        <v>13.88</v>
      </c>
      <c r="L39" s="2">
        <v>12</v>
      </c>
      <c r="M39" s="2">
        <v>20</v>
      </c>
      <c r="N39" s="4" t="s">
        <v>33</v>
      </c>
      <c r="O39" s="9" t="s">
        <v>34</v>
      </c>
      <c r="P39" s="2">
        <v>240</v>
      </c>
      <c r="Q39" s="2">
        <v>0</v>
      </c>
      <c r="R39" s="6" t="s">
        <v>34</v>
      </c>
      <c r="S39" s="2"/>
      <c r="T39" s="2">
        <v>10814</v>
      </c>
      <c r="U39" s="2">
        <v>216.28</v>
      </c>
      <c r="V39" s="2"/>
      <c r="W39" s="2"/>
      <c r="X39" s="2"/>
      <c r="Y39" s="2">
        <v>2206.06</v>
      </c>
      <c r="Z39" s="2"/>
      <c r="AA39" s="10">
        <v>13236.34</v>
      </c>
    </row>
    <row r="40" ht="15">
      <c r="A40">
        <v>10</v>
      </c>
      <c r="B40" s="6"/>
      <c r="C40" s="2">
        <v>7</v>
      </c>
      <c r="D40" s="2"/>
      <c r="E40" s="2" t="s">
        <v>97</v>
      </c>
      <c r="F40" s="2" t="s">
        <v>94</v>
      </c>
      <c r="G40" s="6" t="s">
        <v>30</v>
      </c>
      <c r="H40" s="2" t="s">
        <v>31</v>
      </c>
      <c r="I40" s="2" t="s">
        <v>32</v>
      </c>
      <c r="J40" s="2">
        <v>14.445</v>
      </c>
      <c r="K40" s="2">
        <v>13.22</v>
      </c>
      <c r="L40" s="2">
        <v>12</v>
      </c>
      <c r="M40" s="2">
        <v>20</v>
      </c>
      <c r="N40" s="4" t="s">
        <v>33</v>
      </c>
      <c r="O40" s="9" t="s">
        <v>34</v>
      </c>
      <c r="P40" s="2">
        <v>240</v>
      </c>
      <c r="Q40" s="2">
        <v>0</v>
      </c>
      <c r="R40" s="6" t="s">
        <v>34</v>
      </c>
      <c r="S40" s="2"/>
      <c r="T40" s="2">
        <v>10809.54</v>
      </c>
      <c r="U40" s="2">
        <v>216.19</v>
      </c>
      <c r="V40" s="2"/>
      <c r="W40" s="2"/>
      <c r="X40" s="2"/>
      <c r="Y40" s="2">
        <v>2205.15</v>
      </c>
      <c r="Z40" s="2"/>
      <c r="AA40" s="10">
        <v>13230.88</v>
      </c>
    </row>
    <row r="41" ht="15">
      <c r="A41">
        <v>11</v>
      </c>
      <c r="B41" s="6"/>
      <c r="C41" s="2">
        <v>7</v>
      </c>
      <c r="D41" s="2"/>
      <c r="E41" s="2" t="s">
        <v>98</v>
      </c>
      <c r="F41" s="2" t="s">
        <v>85</v>
      </c>
      <c r="G41" s="6" t="s">
        <v>30</v>
      </c>
      <c r="H41" s="2" t="s">
        <v>31</v>
      </c>
      <c r="I41" s="2" t="s">
        <v>32</v>
      </c>
      <c r="J41" s="2">
        <v>24.891</v>
      </c>
      <c r="K41" s="2">
        <v>22.78</v>
      </c>
      <c r="L41" s="2">
        <v>24.5</v>
      </c>
      <c r="M41" s="2">
        <v>20</v>
      </c>
      <c r="N41" s="4" t="s">
        <v>33</v>
      </c>
      <c r="O41" s="9" t="s">
        <v>34</v>
      </c>
      <c r="P41" s="2">
        <v>490</v>
      </c>
      <c r="Q41" s="2">
        <v>0</v>
      </c>
      <c r="R41" s="6" t="s">
        <v>34</v>
      </c>
      <c r="S41" s="2"/>
      <c r="T41" s="2">
        <v>22041.03</v>
      </c>
      <c r="U41" s="2">
        <v>440.82</v>
      </c>
      <c r="V41" s="2"/>
      <c r="W41" s="2"/>
      <c r="X41" s="2"/>
      <c r="Y41" s="2">
        <v>4496.37</v>
      </c>
      <c r="Z41" s="2"/>
      <c r="AA41" s="10">
        <v>26978.22</v>
      </c>
    </row>
    <row r="42" ht="15">
      <c r="A42" s="11"/>
      <c r="B42" s="11"/>
      <c r="C42" s="11"/>
      <c r="D42" s="11"/>
      <c r="E42" s="11"/>
      <c r="F42" s="11" t="s">
        <v>99</v>
      </c>
      <c r="G42" s="11"/>
      <c r="H42" s="11"/>
      <c r="I42" s="11"/>
      <c r="J42" s="11">
        <f>SUM(J31:J41)</f>
        <v>0</v>
      </c>
      <c r="K42" s="11">
        <f>SUM(K31:K41)</f>
        <v>0</v>
      </c>
      <c r="L42" s="11"/>
      <c r="M42" s="11">
        <f>SUM(M31:M41)</f>
        <v>0</v>
      </c>
      <c r="N42" s="12"/>
      <c r="O42" s="14"/>
      <c r="P42" s="11">
        <f>SUM(P31:P41)</f>
        <v>0</v>
      </c>
      <c r="Q42" s="11">
        <f>SUM(Q31:Q41)</f>
        <v>0</v>
      </c>
      <c r="R42" s="11"/>
      <c r="S42" s="11">
        <f>SUM(S31:S41)</f>
        <v>0</v>
      </c>
      <c r="T42" s="11"/>
      <c r="U42" s="11"/>
      <c r="V42" s="11"/>
      <c r="W42" s="11"/>
      <c r="X42" s="11"/>
      <c r="Y42" s="11"/>
      <c r="Z42" s="11"/>
      <c r="AA42" s="1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2026-07-20T16:36:49Z</dcterms:created>
  <dcterms:modified xsi:type="dcterms:W3CDTF">2026-07-20T13:36:49Z</dcterms:modified>
</cp:coreProperties>
</file>