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profiles\groups\Робота 2А\ПОСТАВКИ В УКР\АМГ\2026\П19 osmanli+mayer+aymeks+fss+remi+NRSP+HP\HP HP32026000000026 10.07.2026\Розмитнення\"/>
    </mc:Choice>
  </mc:AlternateContent>
  <xr:revisionPtr revIDLastSave="0" documentId="13_ncr:1_{72E11E99-A715-4901-BE2E-C0182D07D3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5" i="1" l="1"/>
  <c r="I45" i="1"/>
  <c r="J45" i="1"/>
  <c r="K45" i="1"/>
  <c r="L45" i="1"/>
  <c r="M45" i="1"/>
  <c r="G45" i="1"/>
  <c r="J36" i="1" l="1"/>
  <c r="E38" i="1"/>
  <c r="F36" i="1"/>
  <c r="G36" i="1"/>
  <c r="H36" i="1"/>
  <c r="I36" i="1"/>
  <c r="K36" i="1"/>
  <c r="L36" i="1"/>
  <c r="M36" i="1"/>
  <c r="N36" i="1"/>
  <c r="E36" i="1"/>
  <c r="U3" i="1"/>
  <c r="M30" i="1" l="1"/>
  <c r="K30" i="1"/>
  <c r="L20" i="1"/>
  <c r="M10" i="1"/>
</calcChain>
</file>

<file path=xl/sharedStrings.xml><?xml version="1.0" encoding="utf-8"?>
<sst xmlns="http://schemas.openxmlformats.org/spreadsheetml/2006/main" count="152" uniqueCount="114">
  <si>
    <t>Список товарів електронного інвойсу МД № 26UA400040014352U2 від 20.07.2026</t>
  </si>
  <si>
    <t>Код товару</t>
  </si>
  <si>
    <t>Артикул</t>
  </si>
  <si>
    <t>Назва товару</t>
  </si>
  <si>
    <t>Маса брутто</t>
  </si>
  <si>
    <t>Маса нетто</t>
  </si>
  <si>
    <t>Ціна</t>
  </si>
  <si>
    <t>Кіл-ть</t>
  </si>
  <si>
    <t>Вартість</t>
  </si>
  <si>
    <t>Митна вартість</t>
  </si>
  <si>
    <t>Мито</t>
  </si>
  <si>
    <t>СО</t>
  </si>
  <si>
    <t>ПДВ</t>
  </si>
  <si>
    <t>7312109800</t>
  </si>
  <si>
    <t>501021 7</t>
  </si>
  <si>
    <t xml:space="preserve">Трос митний-120шт, </t>
  </si>
  <si>
    <t>501021 11</t>
  </si>
  <si>
    <t xml:space="preserve">Трос митний-20шт, </t>
  </si>
  <si>
    <t>501021 6</t>
  </si>
  <si>
    <t xml:space="preserve">Трос митний-240шт, </t>
  </si>
  <si>
    <t>501021 9</t>
  </si>
  <si>
    <t xml:space="preserve">Трос митний-80шт, </t>
  </si>
  <si>
    <t>501021 8</t>
  </si>
  <si>
    <t xml:space="preserve">Трос митний-40шт, </t>
  </si>
  <si>
    <t>501021 10</t>
  </si>
  <si>
    <t xml:space="preserve">Трос митний-1000шт, </t>
  </si>
  <si>
    <t>3917239090</t>
  </si>
  <si>
    <t>101084 4</t>
  </si>
  <si>
    <t>Трубка пневматична-400м.п</t>
  </si>
  <si>
    <t>101084 2</t>
  </si>
  <si>
    <t>Трубка пневматична-600м.п</t>
  </si>
  <si>
    <t>101084 1</t>
  </si>
  <si>
    <t>Трубка пневматична-750м.п</t>
  </si>
  <si>
    <t>3923509000</t>
  </si>
  <si>
    <t>301010 0</t>
  </si>
  <si>
    <t xml:space="preserve">Кришка паливного бака-45шт, </t>
  </si>
  <si>
    <t>4009320000</t>
  </si>
  <si>
    <t>101068 5</t>
  </si>
  <si>
    <t xml:space="preserve">Шланг підкачки комплект-30шт, </t>
  </si>
  <si>
    <t>8536501990</t>
  </si>
  <si>
    <t>211036 0</t>
  </si>
  <si>
    <t xml:space="preserve">Вимикач маси-64шт, </t>
  </si>
  <si>
    <t>8536699090</t>
  </si>
  <si>
    <t>211026 1</t>
  </si>
  <si>
    <t xml:space="preserve">Вилка EBS електрична-32шт, </t>
  </si>
  <si>
    <t>211008 0</t>
  </si>
  <si>
    <t xml:space="preserve">Вилка електрична-64шт, </t>
  </si>
  <si>
    <t>211029 0</t>
  </si>
  <si>
    <t xml:space="preserve">Розетка EBS електрична-32шт, </t>
  </si>
  <si>
    <t>211030 0</t>
  </si>
  <si>
    <t xml:space="preserve">Розетка EBS електрична-64шт, </t>
  </si>
  <si>
    <t>211013 0</t>
  </si>
  <si>
    <t xml:space="preserve">Розетка електрична-55шт, </t>
  </si>
  <si>
    <t>211015 0</t>
  </si>
  <si>
    <t>211026 0</t>
  </si>
  <si>
    <t>211027 0</t>
  </si>
  <si>
    <t>8544300098</t>
  </si>
  <si>
    <t>201052 0</t>
  </si>
  <si>
    <t xml:space="preserve">Кабель ADR-20шт, </t>
  </si>
  <si>
    <t>201054 0</t>
  </si>
  <si>
    <t>201055 0</t>
  </si>
  <si>
    <t>201067 0</t>
  </si>
  <si>
    <t xml:space="preserve">Кабель ADR-10шт, </t>
  </si>
  <si>
    <t>201057 0</t>
  </si>
  <si>
    <t>201046 0</t>
  </si>
  <si>
    <t xml:space="preserve">Кабель ADR-100шт, </t>
  </si>
  <si>
    <t>201018 0</t>
  </si>
  <si>
    <t xml:space="preserve">Кабель електричний-20шт, </t>
  </si>
  <si>
    <t>201021 0</t>
  </si>
  <si>
    <t>201027 0</t>
  </si>
  <si>
    <t>201024 0</t>
  </si>
  <si>
    <t>201070 0</t>
  </si>
  <si>
    <t>Долар США</t>
  </si>
  <si>
    <t>Євро</t>
  </si>
  <si>
    <t>1С</t>
  </si>
  <si>
    <t>5010217HP</t>
  </si>
  <si>
    <t>50102111HP</t>
  </si>
  <si>
    <t>5010216HP</t>
  </si>
  <si>
    <t>5010219HP</t>
  </si>
  <si>
    <t>5010218HP</t>
  </si>
  <si>
    <t>50102110HP</t>
  </si>
  <si>
    <t>1010844HP</t>
  </si>
  <si>
    <t>1010842HP</t>
  </si>
  <si>
    <t>1010841HP</t>
  </si>
  <si>
    <t>3010100HP</t>
  </si>
  <si>
    <t>1010685HP</t>
  </si>
  <si>
    <t>2110360HP</t>
  </si>
  <si>
    <t>2110261HP</t>
  </si>
  <si>
    <t>2110080HP</t>
  </si>
  <si>
    <t>2110290HP</t>
  </si>
  <si>
    <t>2110300HP</t>
  </si>
  <si>
    <t>2110130HP</t>
  </si>
  <si>
    <t>2110150HP</t>
  </si>
  <si>
    <t>2110260HP</t>
  </si>
  <si>
    <t>2110270HP</t>
  </si>
  <si>
    <t>2010520HP</t>
  </si>
  <si>
    <t>2010540HP</t>
  </si>
  <si>
    <t>2010550HP</t>
  </si>
  <si>
    <t>2010670HP</t>
  </si>
  <si>
    <t>2010570HP</t>
  </si>
  <si>
    <t>2010460HP</t>
  </si>
  <si>
    <t>2010180HP</t>
  </si>
  <si>
    <t>2010210HP</t>
  </si>
  <si>
    <t>2010270HP</t>
  </si>
  <si>
    <t>2010240HP</t>
  </si>
  <si>
    <t>2010700HP</t>
  </si>
  <si>
    <t>Таможенная стоимость</t>
  </si>
  <si>
    <t>% пошлины</t>
  </si>
  <si>
    <t>Сумма пошлины</t>
  </si>
  <si>
    <t>% акциза</t>
  </si>
  <si>
    <t>Сумма акциза</t>
  </si>
  <si>
    <t>Ставка НДС</t>
  </si>
  <si>
    <t xml:space="preserve">Сумма НДС </t>
  </si>
  <si>
    <t>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</si>
</sst>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Calibri"/>
      <family val="2"/>
      <scheme val="minor"/>
    </font>
    <font>
      <b/>
      <sz val="16"/>
      <color rgb="FF080000"/>
      <name val="Times New Roman"/>
      <family val="1"/>
      <charset val="204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Arial"/>
      <family val="2"/>
      <charset val="204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EAF5E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6" fillId="0" borderId="0"/>
  </cellStyleXfs>
  <cellXfs count="17">
    <xf numFmtId="0" fontId="0" fillId="0" borderId="0" xfId="0"/>
    <xf numFmtId="0" fontId="1" fillId="0" borderId="0" xfId="1" applyFont="1"/>
    <xf numFmtId="0" fontId="0" fillId="0" borderId="2" xfId="1" applyFont="1" applyBorder="1"/>
    <xf numFmtId="0" fontId="0" fillId="2" borderId="1" xfId="1" applyFont="1" applyFill="1" applyBorder="1" applyAlignment="1">
      <alignment horizontal="center" vertical="top" wrapText="1"/>
    </xf>
    <xf numFmtId="0" fontId="0" fillId="0" borderId="2" xfId="1" applyFont="1" applyBorder="1" applyAlignment="1">
      <alignment horizontal="center" vertical="top"/>
    </xf>
    <xf numFmtId="0" fontId="2" fillId="0" borderId="2" xfId="1" applyFont="1" applyBorder="1"/>
    <xf numFmtId="0" fontId="4" fillId="3" borderId="4" xfId="2" applyFill="1" applyBorder="1" applyAlignment="1">
      <alignment horizontal="left" vertical="top" wrapText="1"/>
    </xf>
    <xf numFmtId="0" fontId="5" fillId="3" borderId="5" xfId="0" applyFont="1" applyFill="1" applyBorder="1" applyAlignment="1">
      <alignment vertical="top" wrapText="1"/>
    </xf>
    <xf numFmtId="0" fontId="0" fillId="0" borderId="3" xfId="1" applyFont="1" applyBorder="1" applyAlignment="1">
      <alignment horizontal="center" vertical="top"/>
    </xf>
    <xf numFmtId="0" fontId="0" fillId="0" borderId="3" xfId="1" applyFont="1" applyBorder="1"/>
    <xf numFmtId="0" fontId="2" fillId="0" borderId="3" xfId="1" applyFont="1" applyBorder="1"/>
    <xf numFmtId="0" fontId="0" fillId="4" borderId="0" xfId="0" applyFill="1"/>
    <xf numFmtId="0" fontId="7" fillId="5" borderId="6" xfId="3" applyNumberFormat="1" applyFont="1" applyFill="1" applyBorder="1" applyAlignment="1">
      <alignment horizontal="left" vertical="top"/>
    </xf>
    <xf numFmtId="4" fontId="8" fillId="5" borderId="6" xfId="3" applyNumberFormat="1" applyFont="1" applyFill="1" applyBorder="1" applyAlignment="1">
      <alignment horizontal="right" vertical="top"/>
    </xf>
    <xf numFmtId="0" fontId="8" fillId="5" borderId="6" xfId="3" applyNumberFormat="1" applyFont="1" applyFill="1" applyBorder="1" applyAlignment="1">
      <alignment horizontal="left" vertical="top"/>
    </xf>
    <xf numFmtId="2" fontId="8" fillId="5" borderId="6" xfId="3" applyNumberFormat="1" applyFont="1" applyFill="1" applyBorder="1" applyAlignment="1">
      <alignment horizontal="right" vertical="top"/>
    </xf>
    <xf numFmtId="4" fontId="0" fillId="0" borderId="0" xfId="0" applyNumberFormat="1"/>
  </cellXfs>
  <cellStyles count="4">
    <cellStyle name="Normal" xfId="1" xr:uid="{00000000-0005-0000-0000-000000000000}"/>
    <cellStyle name="Гиперссылка" xfId="2" builtinId="8"/>
    <cellStyle name="Обычный" xfId="0" builtinId="0"/>
    <cellStyle name="Обычный_Sheet1" xfId="3" xr:uid="{9E664F16-B7CE-4EE0-9BF7-9E63E718434B}"/>
  </cellStyles>
  <dxfs count="1">
    <dxf>
      <fill>
        <patternFill patternType="solid">
          <fgColor rgb="FFCCFFCC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ank.gov.ua/markets/exchangerate-chart?cn%5b%5d=EUR" TargetMode="External"/><Relationship Id="rId1" Type="http://schemas.openxmlformats.org/officeDocument/2006/relationships/hyperlink" Target="https://bank.gov.ua/markets/exchangerate-chart?cn%5b%5d=U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abSelected="1" topLeftCell="A19" workbookViewId="0">
      <selection activeCell="G45" sqref="G45:M45"/>
    </sheetView>
  </sheetViews>
  <sheetFormatPr defaultRowHeight="13.8" x14ac:dyDescent="0.3"/>
  <cols>
    <col min="1" max="1" width="11.6640625" customWidth="1"/>
    <col min="2" max="3" width="15.6640625" customWidth="1"/>
    <col min="4" max="4" width="39.109375" customWidth="1"/>
    <col min="5" max="7" width="11.33203125" customWidth="1"/>
    <col min="8" max="13" width="11.6640625" customWidth="1"/>
    <col min="14" max="14" width="3.88671875" customWidth="1"/>
  </cols>
  <sheetData>
    <row r="1" spans="1:21" ht="28.2" thickBot="1" x14ac:dyDescent="0.35">
      <c r="T1" s="6" t="s">
        <v>72</v>
      </c>
      <c r="U1" s="7">
        <v>44.6676</v>
      </c>
    </row>
    <row r="2" spans="1:21" ht="21" thickBot="1" x14ac:dyDescent="0.4">
      <c r="A2" s="1" t="s">
        <v>0</v>
      </c>
      <c r="T2" s="6" t="s">
        <v>73</v>
      </c>
      <c r="U2" s="7">
        <v>51.0595</v>
      </c>
    </row>
    <row r="3" spans="1:21" x14ac:dyDescent="0.3">
      <c r="U3">
        <f>U1/U2</f>
        <v>0.87481467699448678</v>
      </c>
    </row>
    <row r="4" spans="1:21" ht="27.6" x14ac:dyDescent="0.3">
      <c r="A4" s="3" t="s">
        <v>1</v>
      </c>
      <c r="B4" s="3" t="s">
        <v>2</v>
      </c>
      <c r="C4" s="3" t="s">
        <v>74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74</v>
      </c>
      <c r="K4" s="3" t="s">
        <v>9</v>
      </c>
      <c r="L4" s="3" t="s">
        <v>10</v>
      </c>
      <c r="M4" s="3" t="s">
        <v>12</v>
      </c>
      <c r="N4" s="3" t="s">
        <v>11</v>
      </c>
    </row>
    <row r="5" spans="1:21" x14ac:dyDescent="0.3">
      <c r="A5" s="4" t="s">
        <v>13</v>
      </c>
      <c r="B5" s="2" t="s">
        <v>14</v>
      </c>
      <c r="C5" s="2" t="s">
        <v>75</v>
      </c>
      <c r="D5" s="2" t="s">
        <v>15</v>
      </c>
      <c r="E5" s="2">
        <v>199.304</v>
      </c>
      <c r="F5" s="2">
        <v>182.4</v>
      </c>
      <c r="G5" s="2">
        <v>5.4</v>
      </c>
      <c r="H5" s="2">
        <v>120</v>
      </c>
      <c r="I5" s="2">
        <v>648</v>
      </c>
      <c r="J5" s="2">
        <v>566.88</v>
      </c>
      <c r="K5" s="2">
        <v>30176.91</v>
      </c>
      <c r="L5" s="2">
        <v>0</v>
      </c>
      <c r="M5" s="2">
        <v>6035.38</v>
      </c>
      <c r="N5" s="2">
        <v>0</v>
      </c>
    </row>
    <row r="6" spans="1:21" x14ac:dyDescent="0.3">
      <c r="A6" s="4" t="s">
        <v>13</v>
      </c>
      <c r="B6" s="2" t="s">
        <v>16</v>
      </c>
      <c r="C6" s="2" t="s">
        <v>76</v>
      </c>
      <c r="D6" s="2" t="s">
        <v>17</v>
      </c>
      <c r="E6" s="2">
        <v>33.021000000000001</v>
      </c>
      <c r="F6" s="2">
        <v>30.22</v>
      </c>
      <c r="G6" s="2">
        <v>6.6</v>
      </c>
      <c r="H6" s="2">
        <v>20</v>
      </c>
      <c r="I6" s="2">
        <v>132</v>
      </c>
      <c r="J6" s="2">
        <v>115.48</v>
      </c>
      <c r="K6" s="2">
        <v>6100.29</v>
      </c>
      <c r="L6" s="2">
        <v>0</v>
      </c>
      <c r="M6" s="2">
        <v>1220.06</v>
      </c>
      <c r="N6" s="2">
        <v>0</v>
      </c>
    </row>
    <row r="7" spans="1:21" x14ac:dyDescent="0.3">
      <c r="A7" s="4" t="s">
        <v>13</v>
      </c>
      <c r="B7" s="2" t="s">
        <v>18</v>
      </c>
      <c r="C7" s="2" t="s">
        <v>77</v>
      </c>
      <c r="D7" s="2" t="s">
        <v>19</v>
      </c>
      <c r="E7" s="2">
        <v>396.24700000000001</v>
      </c>
      <c r="F7" s="2">
        <v>362.64</v>
      </c>
      <c r="G7" s="2">
        <v>5.0999999999999996</v>
      </c>
      <c r="H7" s="2">
        <v>240</v>
      </c>
      <c r="I7" s="2">
        <v>1224</v>
      </c>
      <c r="J7" s="2">
        <v>1070.77</v>
      </c>
      <c r="K7" s="2">
        <v>57123.16</v>
      </c>
      <c r="L7" s="2">
        <v>0</v>
      </c>
      <c r="M7" s="2">
        <v>11424.63</v>
      </c>
      <c r="N7" s="2">
        <v>0</v>
      </c>
    </row>
    <row r="8" spans="1:21" x14ac:dyDescent="0.3">
      <c r="A8" s="8" t="s">
        <v>13</v>
      </c>
      <c r="B8" s="9" t="s">
        <v>20</v>
      </c>
      <c r="C8" s="2" t="s">
        <v>78</v>
      </c>
      <c r="D8" s="9" t="s">
        <v>21</v>
      </c>
      <c r="E8" s="9">
        <v>128.49799999999999</v>
      </c>
      <c r="F8" s="9">
        <v>117.6</v>
      </c>
      <c r="G8" s="9">
        <v>6</v>
      </c>
      <c r="H8" s="9">
        <v>80</v>
      </c>
      <c r="I8" s="9">
        <v>480</v>
      </c>
      <c r="J8" s="2">
        <v>419.91</v>
      </c>
      <c r="K8" s="9">
        <v>22234.959999999999</v>
      </c>
      <c r="L8" s="9">
        <v>0</v>
      </c>
      <c r="M8" s="9">
        <v>4446.99</v>
      </c>
      <c r="N8" s="2">
        <v>0</v>
      </c>
    </row>
    <row r="9" spans="1:21" x14ac:dyDescent="0.3">
      <c r="A9" s="4" t="s">
        <v>13</v>
      </c>
      <c r="B9" s="2" t="s">
        <v>22</v>
      </c>
      <c r="C9" s="2" t="s">
        <v>79</v>
      </c>
      <c r="D9" s="2" t="s">
        <v>23</v>
      </c>
      <c r="E9" s="2">
        <v>63.811999999999998</v>
      </c>
      <c r="F9" s="2">
        <v>58.4</v>
      </c>
      <c r="G9" s="2">
        <v>5.7</v>
      </c>
      <c r="H9" s="2">
        <v>40</v>
      </c>
      <c r="I9" s="2">
        <v>228</v>
      </c>
      <c r="J9" s="2">
        <v>199.46</v>
      </c>
      <c r="K9" s="2">
        <v>10578.77</v>
      </c>
      <c r="L9" s="2">
        <v>0</v>
      </c>
      <c r="M9" s="2">
        <v>2115.75</v>
      </c>
      <c r="N9" s="2">
        <v>0</v>
      </c>
    </row>
    <row r="10" spans="1:21" x14ac:dyDescent="0.3">
      <c r="A10" s="8" t="s">
        <v>13</v>
      </c>
      <c r="B10" s="9" t="s">
        <v>24</v>
      </c>
      <c r="C10" s="2" t="s">
        <v>80</v>
      </c>
      <c r="D10" s="9" t="s">
        <v>25</v>
      </c>
      <c r="E10" s="9">
        <v>1599.675</v>
      </c>
      <c r="F10" s="9">
        <v>1464</v>
      </c>
      <c r="G10" s="9">
        <v>6.3</v>
      </c>
      <c r="H10" s="9">
        <v>1000</v>
      </c>
      <c r="I10" s="9">
        <v>6300</v>
      </c>
      <c r="J10" s="2">
        <v>5511.33</v>
      </c>
      <c r="K10" s="9">
        <v>291296.76</v>
      </c>
      <c r="L10" s="9">
        <v>0</v>
      </c>
      <c r="M10" s="10">
        <f>SUM(58259.35,0.01)</f>
        <v>58259.360000000001</v>
      </c>
      <c r="N10" s="2">
        <v>0</v>
      </c>
    </row>
    <row r="11" spans="1:21" x14ac:dyDescent="0.3">
      <c r="A11" s="4" t="s">
        <v>26</v>
      </c>
      <c r="B11" s="2" t="s">
        <v>27</v>
      </c>
      <c r="C11" s="2" t="s">
        <v>81</v>
      </c>
      <c r="D11" s="2" t="s">
        <v>28</v>
      </c>
      <c r="E11" s="2">
        <v>24.039000000000001</v>
      </c>
      <c r="F11" s="2">
        <v>22</v>
      </c>
      <c r="G11" s="2">
        <v>0.44</v>
      </c>
      <c r="H11" s="2">
        <v>400</v>
      </c>
      <c r="I11" s="2">
        <v>176</v>
      </c>
      <c r="J11" s="2">
        <v>153.97</v>
      </c>
      <c r="K11" s="2">
        <v>8010.13</v>
      </c>
      <c r="L11" s="2">
        <v>520.66</v>
      </c>
      <c r="M11" s="2">
        <v>1706.16</v>
      </c>
      <c r="N11" s="2">
        <v>6.5</v>
      </c>
    </row>
    <row r="12" spans="1:21" x14ac:dyDescent="0.3">
      <c r="A12" s="8" t="s">
        <v>26</v>
      </c>
      <c r="B12" s="9" t="s">
        <v>29</v>
      </c>
      <c r="C12" s="2" t="s">
        <v>82</v>
      </c>
      <c r="D12" s="9" t="s">
        <v>30</v>
      </c>
      <c r="E12" s="9">
        <v>16.39</v>
      </c>
      <c r="F12" s="9">
        <v>15</v>
      </c>
      <c r="G12" s="9">
        <v>0.22</v>
      </c>
      <c r="H12" s="9">
        <v>600</v>
      </c>
      <c r="I12" s="9">
        <v>132</v>
      </c>
      <c r="J12" s="2">
        <v>115.48</v>
      </c>
      <c r="K12" s="9">
        <v>5997.46</v>
      </c>
      <c r="L12" s="9">
        <v>389.83</v>
      </c>
      <c r="M12" s="9">
        <v>1277.46</v>
      </c>
      <c r="N12" s="2">
        <v>6.5</v>
      </c>
    </row>
    <row r="13" spans="1:21" x14ac:dyDescent="0.3">
      <c r="A13" s="4" t="s">
        <v>26</v>
      </c>
      <c r="B13" s="2" t="s">
        <v>31</v>
      </c>
      <c r="C13" s="2" t="s">
        <v>83</v>
      </c>
      <c r="D13" s="2" t="s">
        <v>32</v>
      </c>
      <c r="E13" s="2">
        <v>15.571</v>
      </c>
      <c r="F13" s="2">
        <v>14.25</v>
      </c>
      <c r="G13" s="2">
        <v>0.16</v>
      </c>
      <c r="H13" s="2">
        <v>750</v>
      </c>
      <c r="I13" s="2">
        <v>120</v>
      </c>
      <c r="J13" s="2">
        <v>104.98</v>
      </c>
      <c r="K13" s="2">
        <v>5456.39</v>
      </c>
      <c r="L13" s="2">
        <v>354.67</v>
      </c>
      <c r="M13" s="2">
        <v>1162.21</v>
      </c>
      <c r="N13" s="2">
        <v>6.5</v>
      </c>
    </row>
    <row r="14" spans="1:21" x14ac:dyDescent="0.3">
      <c r="A14" s="8" t="s">
        <v>33</v>
      </c>
      <c r="B14" s="9" t="s">
        <v>34</v>
      </c>
      <c r="C14" s="2" t="s">
        <v>84</v>
      </c>
      <c r="D14" s="9" t="s">
        <v>35</v>
      </c>
      <c r="E14" s="9">
        <v>16.373999999999999</v>
      </c>
      <c r="F14" s="9">
        <v>14.984999999999999</v>
      </c>
      <c r="G14" s="9">
        <v>4.4000000000000004</v>
      </c>
      <c r="H14" s="9">
        <v>45</v>
      </c>
      <c r="I14" s="9">
        <v>198</v>
      </c>
      <c r="J14" s="2">
        <v>173.21</v>
      </c>
      <c r="K14" s="9">
        <v>8945.43</v>
      </c>
      <c r="L14" s="9">
        <v>581.45000000000005</v>
      </c>
      <c r="M14" s="9">
        <v>1905.38</v>
      </c>
      <c r="N14" s="2">
        <v>6.5</v>
      </c>
    </row>
    <row r="15" spans="1:21" x14ac:dyDescent="0.3">
      <c r="A15" s="4" t="s">
        <v>36</v>
      </c>
      <c r="B15" s="2" t="s">
        <v>37</v>
      </c>
      <c r="C15" s="2" t="s">
        <v>85</v>
      </c>
      <c r="D15" s="2" t="s">
        <v>38</v>
      </c>
      <c r="E15" s="2">
        <v>33.402999999999999</v>
      </c>
      <c r="F15" s="2">
        <v>30.57</v>
      </c>
      <c r="G15" s="2">
        <v>10</v>
      </c>
      <c r="H15" s="2">
        <v>30</v>
      </c>
      <c r="I15" s="2">
        <v>300</v>
      </c>
      <c r="J15" s="2">
        <v>262.44</v>
      </c>
      <c r="K15" s="2">
        <v>13606.81</v>
      </c>
      <c r="L15" s="2">
        <v>0</v>
      </c>
      <c r="M15" s="2">
        <v>2721.36</v>
      </c>
      <c r="N15" s="2">
        <v>0</v>
      </c>
    </row>
    <row r="16" spans="1:21" x14ac:dyDescent="0.3">
      <c r="A16" s="4" t="s">
        <v>39</v>
      </c>
      <c r="B16" s="2" t="s">
        <v>40</v>
      </c>
      <c r="C16" s="2" t="s">
        <v>86</v>
      </c>
      <c r="D16" s="2" t="s">
        <v>41</v>
      </c>
      <c r="E16" s="2">
        <v>22.097999999999999</v>
      </c>
      <c r="F16" s="2">
        <v>20.224</v>
      </c>
      <c r="G16" s="2">
        <v>2.8</v>
      </c>
      <c r="H16" s="2">
        <v>64</v>
      </c>
      <c r="I16" s="2">
        <v>179.2</v>
      </c>
      <c r="J16" s="2">
        <v>156.77000000000001</v>
      </c>
      <c r="K16" s="2">
        <v>8141.07</v>
      </c>
      <c r="L16" s="2">
        <v>407.05</v>
      </c>
      <c r="M16" s="2">
        <v>1709.62</v>
      </c>
      <c r="N16" s="2">
        <v>5</v>
      </c>
    </row>
    <row r="17" spans="1:14" x14ac:dyDescent="0.3">
      <c r="A17" s="4" t="s">
        <v>42</v>
      </c>
      <c r="B17" s="2" t="s">
        <v>43</v>
      </c>
      <c r="C17" s="2" t="s">
        <v>87</v>
      </c>
      <c r="D17" s="2" t="s">
        <v>44</v>
      </c>
      <c r="E17" s="2">
        <v>8.9160000000000004</v>
      </c>
      <c r="F17" s="2">
        <v>8.16</v>
      </c>
      <c r="G17" s="2">
        <v>3.5</v>
      </c>
      <c r="H17" s="2">
        <v>32</v>
      </c>
      <c r="I17" s="2">
        <v>112</v>
      </c>
      <c r="J17" s="2">
        <v>97.98</v>
      </c>
      <c r="K17" s="2">
        <v>5057.8999999999996</v>
      </c>
      <c r="L17" s="2">
        <v>252.9</v>
      </c>
      <c r="M17" s="2">
        <v>1062.1600000000001</v>
      </c>
      <c r="N17" s="2">
        <v>5</v>
      </c>
    </row>
    <row r="18" spans="1:14" x14ac:dyDescent="0.3">
      <c r="A18" s="4" t="s">
        <v>42</v>
      </c>
      <c r="B18" s="2" t="s">
        <v>45</v>
      </c>
      <c r="C18" s="2" t="s">
        <v>88</v>
      </c>
      <c r="D18" s="2" t="s">
        <v>46</v>
      </c>
      <c r="E18" s="2">
        <v>17.693000000000001</v>
      </c>
      <c r="F18" s="2">
        <v>16.192</v>
      </c>
      <c r="G18" s="2">
        <v>1.95</v>
      </c>
      <c r="H18" s="2">
        <v>64</v>
      </c>
      <c r="I18" s="2">
        <v>124.8</v>
      </c>
      <c r="J18" s="2">
        <v>109.18</v>
      </c>
      <c r="K18" s="2">
        <v>5683.91</v>
      </c>
      <c r="L18" s="2">
        <v>284.2</v>
      </c>
      <c r="M18" s="2">
        <v>1193.6199999999999</v>
      </c>
      <c r="N18" s="2">
        <v>5</v>
      </c>
    </row>
    <row r="19" spans="1:14" x14ac:dyDescent="0.3">
      <c r="A19" s="4" t="s">
        <v>42</v>
      </c>
      <c r="B19" s="2" t="s">
        <v>47</v>
      </c>
      <c r="C19" s="2" t="s">
        <v>89</v>
      </c>
      <c r="D19" s="2" t="s">
        <v>48</v>
      </c>
      <c r="E19" s="2">
        <v>6.923</v>
      </c>
      <c r="F19" s="2">
        <v>6.3360000000000003</v>
      </c>
      <c r="G19" s="2">
        <v>4</v>
      </c>
      <c r="H19" s="2">
        <v>32</v>
      </c>
      <c r="I19" s="2">
        <v>128</v>
      </c>
      <c r="J19" s="2">
        <v>111.98</v>
      </c>
      <c r="K19" s="2">
        <v>5760.26</v>
      </c>
      <c r="L19" s="2">
        <v>288.01</v>
      </c>
      <c r="M19" s="2">
        <v>1209.6500000000001</v>
      </c>
      <c r="N19" s="2">
        <v>5</v>
      </c>
    </row>
    <row r="20" spans="1:14" x14ac:dyDescent="0.3">
      <c r="A20" s="4" t="s">
        <v>42</v>
      </c>
      <c r="B20" s="2" t="s">
        <v>49</v>
      </c>
      <c r="C20" s="2" t="s">
        <v>90</v>
      </c>
      <c r="D20" s="2" t="s">
        <v>50</v>
      </c>
      <c r="E20" s="2">
        <v>13.776</v>
      </c>
      <c r="F20" s="2">
        <v>12.608000000000001</v>
      </c>
      <c r="G20" s="2">
        <v>5</v>
      </c>
      <c r="H20" s="2">
        <v>64</v>
      </c>
      <c r="I20" s="2">
        <v>320</v>
      </c>
      <c r="J20" s="2">
        <v>279.94</v>
      </c>
      <c r="K20" s="2">
        <v>14378.81</v>
      </c>
      <c r="L20" s="5">
        <f>SUM(718.94,-0.01)</f>
        <v>718.93000000000006</v>
      </c>
      <c r="M20" s="2">
        <v>3019.55</v>
      </c>
      <c r="N20" s="2">
        <v>5</v>
      </c>
    </row>
    <row r="21" spans="1:14" x14ac:dyDescent="0.3">
      <c r="A21" s="4" t="s">
        <v>42</v>
      </c>
      <c r="B21" s="2" t="s">
        <v>51</v>
      </c>
      <c r="C21" s="2" t="s">
        <v>91</v>
      </c>
      <c r="D21" s="2" t="s">
        <v>52</v>
      </c>
      <c r="E21" s="2">
        <v>9.6760000000000002</v>
      </c>
      <c r="F21" s="2">
        <v>8.8550000000000004</v>
      </c>
      <c r="G21" s="2">
        <v>2.4</v>
      </c>
      <c r="H21" s="2">
        <v>55</v>
      </c>
      <c r="I21" s="2">
        <v>132</v>
      </c>
      <c r="J21" s="2">
        <v>115.48</v>
      </c>
      <c r="K21" s="2">
        <v>5955.95</v>
      </c>
      <c r="L21" s="2">
        <v>297.8</v>
      </c>
      <c r="M21" s="2">
        <v>1250.75</v>
      </c>
      <c r="N21" s="2">
        <v>5</v>
      </c>
    </row>
    <row r="22" spans="1:14" x14ac:dyDescent="0.3">
      <c r="A22" s="4" t="s">
        <v>42</v>
      </c>
      <c r="B22" s="2" t="s">
        <v>53</v>
      </c>
      <c r="C22" s="2" t="s">
        <v>92</v>
      </c>
      <c r="D22" s="2" t="s">
        <v>52</v>
      </c>
      <c r="E22" s="2">
        <v>7.0910000000000002</v>
      </c>
      <c r="F22" s="2">
        <v>6.49</v>
      </c>
      <c r="G22" s="2">
        <v>2</v>
      </c>
      <c r="H22" s="2">
        <v>55</v>
      </c>
      <c r="I22" s="2">
        <v>110</v>
      </c>
      <c r="J22" s="2">
        <v>96.23</v>
      </c>
      <c r="K22" s="2">
        <v>4957.28</v>
      </c>
      <c r="L22" s="2">
        <v>247.86</v>
      </c>
      <c r="M22" s="2">
        <v>1041.03</v>
      </c>
      <c r="N22" s="2">
        <v>5</v>
      </c>
    </row>
    <row r="23" spans="1:14" x14ac:dyDescent="0.3">
      <c r="A23" s="8" t="s">
        <v>42</v>
      </c>
      <c r="B23" s="9" t="s">
        <v>54</v>
      </c>
      <c r="C23" s="2" t="s">
        <v>93</v>
      </c>
      <c r="D23" s="9" t="s">
        <v>44</v>
      </c>
      <c r="E23" s="9">
        <v>8.0419999999999998</v>
      </c>
      <c r="F23" s="9">
        <v>7.36</v>
      </c>
      <c r="G23" s="9">
        <v>4</v>
      </c>
      <c r="H23" s="9">
        <v>32</v>
      </c>
      <c r="I23" s="9">
        <v>128</v>
      </c>
      <c r="J23" s="2">
        <v>111.98</v>
      </c>
      <c r="K23" s="9">
        <v>5767.18</v>
      </c>
      <c r="L23" s="9">
        <v>288.36</v>
      </c>
      <c r="M23" s="9">
        <v>1211.1099999999999</v>
      </c>
      <c r="N23" s="2">
        <v>5</v>
      </c>
    </row>
    <row r="24" spans="1:14" x14ac:dyDescent="0.3">
      <c r="A24" s="4" t="s">
        <v>42</v>
      </c>
      <c r="B24" s="2" t="s">
        <v>55</v>
      </c>
      <c r="C24" s="2" t="s">
        <v>94</v>
      </c>
      <c r="D24" s="2" t="s">
        <v>44</v>
      </c>
      <c r="E24" s="2">
        <v>10.14</v>
      </c>
      <c r="F24" s="2">
        <v>9.2799999999999994</v>
      </c>
      <c r="G24" s="2">
        <v>5.5</v>
      </c>
      <c r="H24" s="2">
        <v>32</v>
      </c>
      <c r="I24" s="2">
        <v>176</v>
      </c>
      <c r="J24" s="2">
        <v>153.97</v>
      </c>
      <c r="K24" s="2">
        <v>7924.19</v>
      </c>
      <c r="L24" s="2">
        <v>396.21</v>
      </c>
      <c r="M24" s="2">
        <v>1664.08</v>
      </c>
      <c r="N24" s="2">
        <v>5</v>
      </c>
    </row>
    <row r="25" spans="1:14" x14ac:dyDescent="0.3">
      <c r="A25" s="4" t="s">
        <v>56</v>
      </c>
      <c r="B25" s="2" t="s">
        <v>57</v>
      </c>
      <c r="C25" s="2" t="s">
        <v>95</v>
      </c>
      <c r="D25" s="2" t="s">
        <v>58</v>
      </c>
      <c r="E25" s="2">
        <v>43.314</v>
      </c>
      <c r="F25" s="2">
        <v>39.64</v>
      </c>
      <c r="G25" s="2">
        <v>34</v>
      </c>
      <c r="H25" s="2">
        <v>20</v>
      </c>
      <c r="I25" s="2">
        <v>680</v>
      </c>
      <c r="J25" s="2">
        <v>594.87</v>
      </c>
      <c r="K25" s="2">
        <v>30641.78</v>
      </c>
      <c r="L25" s="2">
        <v>612.84</v>
      </c>
      <c r="M25" s="2">
        <v>6250.92</v>
      </c>
      <c r="N25" s="2">
        <v>2</v>
      </c>
    </row>
    <row r="26" spans="1:14" x14ac:dyDescent="0.3">
      <c r="A26" s="4" t="s">
        <v>56</v>
      </c>
      <c r="B26" s="2" t="s">
        <v>59</v>
      </c>
      <c r="C26" s="2" t="s">
        <v>96</v>
      </c>
      <c r="D26" s="2" t="s">
        <v>58</v>
      </c>
      <c r="E26" s="2">
        <v>33.021000000000001</v>
      </c>
      <c r="F26" s="2">
        <v>30.22</v>
      </c>
      <c r="G26" s="2">
        <v>23</v>
      </c>
      <c r="H26" s="2">
        <v>20</v>
      </c>
      <c r="I26" s="2">
        <v>460</v>
      </c>
      <c r="J26" s="2">
        <v>402.41</v>
      </c>
      <c r="K26" s="2">
        <v>20751.27</v>
      </c>
      <c r="L26" s="2">
        <v>415.03</v>
      </c>
      <c r="M26" s="2">
        <v>4233.26</v>
      </c>
      <c r="N26" s="2">
        <v>2</v>
      </c>
    </row>
    <row r="27" spans="1:14" x14ac:dyDescent="0.3">
      <c r="A27" s="4" t="s">
        <v>56</v>
      </c>
      <c r="B27" s="2" t="s">
        <v>60</v>
      </c>
      <c r="C27" s="2" t="s">
        <v>97</v>
      </c>
      <c r="D27" s="2" t="s">
        <v>58</v>
      </c>
      <c r="E27" s="2">
        <v>31.36</v>
      </c>
      <c r="F27" s="2">
        <v>28.7</v>
      </c>
      <c r="G27" s="2">
        <v>25</v>
      </c>
      <c r="H27" s="2">
        <v>20</v>
      </c>
      <c r="I27" s="2">
        <v>500</v>
      </c>
      <c r="J27" s="2">
        <v>437.41</v>
      </c>
      <c r="K27" s="2">
        <v>22527.7</v>
      </c>
      <c r="L27" s="2">
        <v>450.55</v>
      </c>
      <c r="M27" s="2">
        <v>4595.6499999999996</v>
      </c>
      <c r="N27" s="2">
        <v>2</v>
      </c>
    </row>
    <row r="28" spans="1:14" x14ac:dyDescent="0.3">
      <c r="A28" s="4" t="s">
        <v>56</v>
      </c>
      <c r="B28" s="2" t="s">
        <v>61</v>
      </c>
      <c r="C28" s="2" t="s">
        <v>98</v>
      </c>
      <c r="D28" s="2" t="s">
        <v>62</v>
      </c>
      <c r="E28" s="2">
        <v>14.959</v>
      </c>
      <c r="F28" s="2">
        <v>13.69</v>
      </c>
      <c r="G28" s="2">
        <v>25</v>
      </c>
      <c r="H28" s="2">
        <v>10</v>
      </c>
      <c r="I28" s="2">
        <v>250</v>
      </c>
      <c r="J28" s="2">
        <v>218.7</v>
      </c>
      <c r="K28" s="2">
        <v>11259.39</v>
      </c>
      <c r="L28" s="2">
        <v>225.19</v>
      </c>
      <c r="M28" s="2">
        <v>2296.92</v>
      </c>
      <c r="N28" s="2">
        <v>2</v>
      </c>
    </row>
    <row r="29" spans="1:14" x14ac:dyDescent="0.3">
      <c r="A29" s="4" t="s">
        <v>56</v>
      </c>
      <c r="B29" s="2" t="s">
        <v>63</v>
      </c>
      <c r="C29" s="2" t="s">
        <v>99</v>
      </c>
      <c r="D29" s="2" t="s">
        <v>62</v>
      </c>
      <c r="E29" s="2">
        <v>14.445</v>
      </c>
      <c r="F29" s="2">
        <v>13.22</v>
      </c>
      <c r="G29" s="2">
        <v>21.75</v>
      </c>
      <c r="H29" s="2">
        <v>10</v>
      </c>
      <c r="I29" s="2">
        <v>217.5</v>
      </c>
      <c r="J29" s="2">
        <v>190.27</v>
      </c>
      <c r="K29" s="2">
        <v>9804.52</v>
      </c>
      <c r="L29" s="2">
        <v>196.09</v>
      </c>
      <c r="M29" s="2">
        <v>2000.12</v>
      </c>
      <c r="N29" s="2">
        <v>2</v>
      </c>
    </row>
    <row r="30" spans="1:14" x14ac:dyDescent="0.3">
      <c r="A30" s="4" t="s">
        <v>56</v>
      </c>
      <c r="B30" s="2" t="s">
        <v>64</v>
      </c>
      <c r="C30" s="2" t="s">
        <v>100</v>
      </c>
      <c r="D30" s="2" t="s">
        <v>65</v>
      </c>
      <c r="E30" s="2">
        <v>128.49799999999999</v>
      </c>
      <c r="F30" s="2">
        <v>117.6</v>
      </c>
      <c r="G30" s="2">
        <v>20.5</v>
      </c>
      <c r="H30" s="2">
        <v>100</v>
      </c>
      <c r="I30" s="2">
        <v>2050</v>
      </c>
      <c r="J30" s="2">
        <v>1793.37</v>
      </c>
      <c r="K30" s="5">
        <f>SUM(92363.09,-0.02)</f>
        <v>92363.069999999992</v>
      </c>
      <c r="L30" s="2">
        <v>1847.26</v>
      </c>
      <c r="M30" s="5">
        <f>SUM(18842.07,-0.01)</f>
        <v>18842.060000000001</v>
      </c>
      <c r="N30" s="2">
        <v>2</v>
      </c>
    </row>
    <row r="31" spans="1:14" x14ac:dyDescent="0.3">
      <c r="A31" s="4" t="s">
        <v>56</v>
      </c>
      <c r="B31" s="2" t="s">
        <v>66</v>
      </c>
      <c r="C31" s="2" t="s">
        <v>101</v>
      </c>
      <c r="D31" s="2" t="s">
        <v>67</v>
      </c>
      <c r="E31" s="2">
        <v>16.106000000000002</v>
      </c>
      <c r="F31" s="2">
        <v>14.74</v>
      </c>
      <c r="G31" s="2">
        <v>12.25</v>
      </c>
      <c r="H31" s="2">
        <v>20</v>
      </c>
      <c r="I31" s="2">
        <v>245</v>
      </c>
      <c r="J31" s="2">
        <v>214.33</v>
      </c>
      <c r="K31" s="2">
        <v>11043.15</v>
      </c>
      <c r="L31" s="2">
        <v>220.86</v>
      </c>
      <c r="M31" s="2">
        <v>2252.8000000000002</v>
      </c>
      <c r="N31" s="2">
        <v>2</v>
      </c>
    </row>
    <row r="32" spans="1:14" x14ac:dyDescent="0.3">
      <c r="A32" s="4" t="s">
        <v>56</v>
      </c>
      <c r="B32" s="2" t="s">
        <v>68</v>
      </c>
      <c r="C32" s="2" t="s">
        <v>102</v>
      </c>
      <c r="D32" s="2" t="s">
        <v>67</v>
      </c>
      <c r="E32" s="2">
        <v>16.106000000000002</v>
      </c>
      <c r="F32" s="2">
        <v>14.74</v>
      </c>
      <c r="G32" s="2">
        <v>12.25</v>
      </c>
      <c r="H32" s="2">
        <v>20</v>
      </c>
      <c r="I32" s="2">
        <v>245</v>
      </c>
      <c r="J32" s="2">
        <v>214.33</v>
      </c>
      <c r="K32" s="2">
        <v>11043.15</v>
      </c>
      <c r="L32" s="2">
        <v>220.86</v>
      </c>
      <c r="M32" s="2">
        <v>2252.8000000000002</v>
      </c>
      <c r="N32" s="2">
        <v>2</v>
      </c>
    </row>
    <row r="33" spans="1:14" x14ac:dyDescent="0.3">
      <c r="A33" s="4" t="s">
        <v>56</v>
      </c>
      <c r="B33" s="2" t="s">
        <v>69</v>
      </c>
      <c r="C33" s="2" t="s">
        <v>103</v>
      </c>
      <c r="D33" s="2" t="s">
        <v>67</v>
      </c>
      <c r="E33" s="2">
        <v>15.166</v>
      </c>
      <c r="F33" s="2">
        <v>13.88</v>
      </c>
      <c r="G33" s="2">
        <v>12</v>
      </c>
      <c r="H33" s="2">
        <v>20</v>
      </c>
      <c r="I33" s="2">
        <v>240</v>
      </c>
      <c r="J33" s="2">
        <v>209.96</v>
      </c>
      <c r="K33" s="2">
        <v>10814</v>
      </c>
      <c r="L33" s="2">
        <v>216.28</v>
      </c>
      <c r="M33" s="2">
        <v>2206.06</v>
      </c>
      <c r="N33" s="2">
        <v>2</v>
      </c>
    </row>
    <row r="34" spans="1:14" x14ac:dyDescent="0.3">
      <c r="A34" s="4" t="s">
        <v>56</v>
      </c>
      <c r="B34" s="2" t="s">
        <v>70</v>
      </c>
      <c r="C34" s="2" t="s">
        <v>104</v>
      </c>
      <c r="D34" s="2" t="s">
        <v>67</v>
      </c>
      <c r="E34" s="2">
        <v>14.445</v>
      </c>
      <c r="F34" s="2">
        <v>13.22</v>
      </c>
      <c r="G34" s="2">
        <v>12</v>
      </c>
      <c r="H34" s="2">
        <v>20</v>
      </c>
      <c r="I34" s="2">
        <v>240</v>
      </c>
      <c r="J34" s="2">
        <v>209.96</v>
      </c>
      <c r="K34" s="2">
        <v>10809.54</v>
      </c>
      <c r="L34" s="2">
        <v>216.19</v>
      </c>
      <c r="M34" s="2">
        <v>2205.15</v>
      </c>
      <c r="N34" s="2">
        <v>2</v>
      </c>
    </row>
    <row r="35" spans="1:14" x14ac:dyDescent="0.3">
      <c r="A35" s="8" t="s">
        <v>56</v>
      </c>
      <c r="B35" s="9" t="s">
        <v>71</v>
      </c>
      <c r="C35" s="2" t="s">
        <v>105</v>
      </c>
      <c r="D35" s="9" t="s">
        <v>58</v>
      </c>
      <c r="E35" s="9">
        <v>24.890999999999998</v>
      </c>
      <c r="F35" s="9">
        <v>22.78</v>
      </c>
      <c r="G35" s="9">
        <v>24.5</v>
      </c>
      <c r="H35" s="9">
        <v>20</v>
      </c>
      <c r="I35" s="9">
        <v>490</v>
      </c>
      <c r="J35" s="2">
        <v>428.66</v>
      </c>
      <c r="K35" s="9">
        <v>22041.03</v>
      </c>
      <c r="L35" s="9">
        <v>440.82</v>
      </c>
      <c r="M35" s="9">
        <v>4496.37</v>
      </c>
      <c r="N35" s="9">
        <v>2</v>
      </c>
    </row>
    <row r="36" spans="1:14" x14ac:dyDescent="0.3">
      <c r="E36">
        <f>SUM(E5:E35)</f>
        <v>2983</v>
      </c>
      <c r="F36">
        <f t="shared" ref="F36:N36" si="0">SUM(F5:F35)</f>
        <v>2729.9999999999995</v>
      </c>
      <c r="G36">
        <f t="shared" si="0"/>
        <v>303.72000000000003</v>
      </c>
      <c r="H36">
        <f t="shared" si="0"/>
        <v>4035</v>
      </c>
      <c r="I36">
        <f t="shared" si="0"/>
        <v>16965.5</v>
      </c>
      <c r="J36">
        <f t="shared" si="0"/>
        <v>14841.689999999999</v>
      </c>
      <c r="K36">
        <f t="shared" si="0"/>
        <v>776252.2200000002</v>
      </c>
      <c r="L36">
        <f t="shared" si="0"/>
        <v>10089.900000000001</v>
      </c>
      <c r="M36">
        <f t="shared" si="0"/>
        <v>157268.41999999995</v>
      </c>
      <c r="N36">
        <f t="shared" si="0"/>
        <v>93</v>
      </c>
    </row>
    <row r="38" spans="1:14" x14ac:dyDescent="0.3">
      <c r="E38" s="11">
        <f>E36/F36</f>
        <v>1.0926739926739928</v>
      </c>
    </row>
    <row r="40" spans="1:14" x14ac:dyDescent="0.3">
      <c r="G40" s="12" t="s">
        <v>106</v>
      </c>
      <c r="H40" s="12" t="s">
        <v>107</v>
      </c>
      <c r="I40" s="12" t="s">
        <v>108</v>
      </c>
      <c r="J40" s="12" t="s">
        <v>109</v>
      </c>
      <c r="K40" s="12" t="s">
        <v>110</v>
      </c>
      <c r="L40" s="12" t="s">
        <v>111</v>
      </c>
      <c r="M40" s="12" t="s">
        <v>112</v>
      </c>
    </row>
    <row r="41" spans="1:14" x14ac:dyDescent="0.3">
      <c r="G41" s="13">
        <v>431117.66</v>
      </c>
      <c r="H41" s="14"/>
      <c r="I41" s="14"/>
      <c r="J41" s="14"/>
      <c r="K41" s="14"/>
      <c r="L41" s="14" t="s">
        <v>113</v>
      </c>
      <c r="M41" s="13">
        <v>86223.53</v>
      </c>
    </row>
    <row r="42" spans="1:14" x14ac:dyDescent="0.3">
      <c r="G42" s="13">
        <v>253098.6</v>
      </c>
      <c r="H42" s="15">
        <v>2</v>
      </c>
      <c r="I42" s="13">
        <v>5061.97</v>
      </c>
      <c r="J42" s="14"/>
      <c r="K42" s="14"/>
      <c r="L42" s="14" t="s">
        <v>113</v>
      </c>
      <c r="M42" s="13">
        <v>51632.11</v>
      </c>
    </row>
    <row r="43" spans="1:14" x14ac:dyDescent="0.3">
      <c r="G43" s="13">
        <v>63626.55</v>
      </c>
      <c r="H43" s="15">
        <v>5</v>
      </c>
      <c r="I43" s="13">
        <v>3181.33</v>
      </c>
      <c r="J43" s="14"/>
      <c r="K43" s="14"/>
      <c r="L43" s="14" t="s">
        <v>113</v>
      </c>
      <c r="M43" s="13">
        <v>13361.58</v>
      </c>
    </row>
    <row r="44" spans="1:14" x14ac:dyDescent="0.3">
      <c r="G44" s="13">
        <v>28409.41</v>
      </c>
      <c r="H44" s="15">
        <v>6.5</v>
      </c>
      <c r="I44" s="13">
        <v>1846.61</v>
      </c>
      <c r="J44" s="14"/>
      <c r="K44" s="14"/>
      <c r="L44" s="14" t="s">
        <v>113</v>
      </c>
      <c r="M44" s="13">
        <v>6051.2</v>
      </c>
    </row>
    <row r="45" spans="1:14" x14ac:dyDescent="0.3">
      <c r="G45" s="16">
        <f>SUM(G41:G44)</f>
        <v>776252.22000000009</v>
      </c>
      <c r="H45" s="16">
        <f t="shared" ref="H45:M45" si="1">SUM(H41:H44)</f>
        <v>13.5</v>
      </c>
      <c r="I45" s="16">
        <f t="shared" si="1"/>
        <v>10089.91</v>
      </c>
      <c r="J45" s="16">
        <f t="shared" si="1"/>
        <v>0</v>
      </c>
      <c r="K45" s="16">
        <f t="shared" si="1"/>
        <v>0</v>
      </c>
      <c r="L45" s="16">
        <f t="shared" si="1"/>
        <v>0</v>
      </c>
      <c r="M45" s="16">
        <f t="shared" si="1"/>
        <v>157268.42000000001</v>
      </c>
    </row>
  </sheetData>
  <sortState xmlns:xlrd2="http://schemas.microsoft.com/office/spreadsheetml/2017/richdata2" ref="A5:N35">
    <sortCondition sortBy="cellColor" ref="A5:A35" dxfId="0"/>
  </sortState>
  <hyperlinks>
    <hyperlink ref="T1" r:id="rId1" display="https://bank.gov.ua/markets/exchangerate-chart?cn%5b%5d=USD" xr:uid="{6959A76E-58F7-40D1-A291-9AC6C7DBD900}"/>
    <hyperlink ref="T2" r:id="rId2" display="https://bank.gov.ua/markets/exchangerate-chart?cn%5b%5d=EUR" xr:uid="{BE2856BA-EDB9-4E34-B96C-47A448C9DCFC}"/>
  </hyperlink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Філіппова Катерина</cp:lastModifiedBy>
  <dcterms:created xsi:type="dcterms:W3CDTF">2026-07-20T16:36:49Z</dcterms:created>
  <dcterms:modified xsi:type="dcterms:W3CDTF">2026-07-21T13:42:30Z</dcterms:modified>
</cp:coreProperties>
</file>