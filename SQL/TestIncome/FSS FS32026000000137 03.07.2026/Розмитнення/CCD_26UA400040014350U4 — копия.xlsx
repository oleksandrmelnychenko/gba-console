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profiles\groups\Робота 2А\ПОСТАВКИ В УКР\АМГ\2026\П19 osmanli+mayer+aymeks+fss+remi+NRSP+HP\FSS FS32026000000137 03.07.2026\Розмитнення\"/>
    </mc:Choice>
  </mc:AlternateContent>
  <xr:revisionPtr revIDLastSave="0" documentId="13_ncr:1_{59F8D83B-DE6C-4E04-8AB2-50D9ABB044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29" i="1" l="1"/>
  <c r="I129" i="1"/>
  <c r="J129" i="1"/>
  <c r="K129" i="1"/>
  <c r="L129" i="1"/>
  <c r="M129" i="1"/>
  <c r="G129" i="1"/>
  <c r="J111" i="1" l="1"/>
  <c r="S3" i="1"/>
  <c r="F115" i="1"/>
  <c r="F111" i="1"/>
  <c r="G111" i="1"/>
  <c r="H111" i="1"/>
  <c r="I111" i="1"/>
  <c r="K111" i="1"/>
  <c r="L111" i="1"/>
  <c r="M111" i="1"/>
  <c r="N111" i="1"/>
  <c r="E111" i="1"/>
  <c r="M102" i="1"/>
  <c r="L102" i="1"/>
  <c r="L96" i="1"/>
  <c r="K96" i="1"/>
  <c r="L95" i="1"/>
  <c r="K95" i="1"/>
  <c r="L60" i="1"/>
  <c r="M55" i="1"/>
  <c r="K55" i="1"/>
  <c r="K39" i="1"/>
  <c r="M33" i="1"/>
  <c r="M29" i="1"/>
  <c r="L29" i="1"/>
  <c r="M22" i="1"/>
  <c r="L22" i="1"/>
</calcChain>
</file>

<file path=xl/sharedStrings.xml><?xml version="1.0" encoding="utf-8"?>
<sst xmlns="http://schemas.openxmlformats.org/spreadsheetml/2006/main" count="451" uniqueCount="339">
  <si>
    <t>Список товарів електронного інвойсу МД № 26UA400040014350U4 від 20.07.2026</t>
  </si>
  <si>
    <t>Код товару</t>
  </si>
  <si>
    <t>Артикул</t>
  </si>
  <si>
    <t>Назва товару</t>
  </si>
  <si>
    <t>Маса брутто</t>
  </si>
  <si>
    <t>Маса нетто</t>
  </si>
  <si>
    <t>Ціна</t>
  </si>
  <si>
    <t>Кіл-ть</t>
  </si>
  <si>
    <t>Вартість</t>
  </si>
  <si>
    <t>Митна вартість</t>
  </si>
  <si>
    <t>Мито</t>
  </si>
  <si>
    <t>СО</t>
  </si>
  <si>
    <t>ПДВ</t>
  </si>
  <si>
    <t>8481209000</t>
  </si>
  <si>
    <t>03.440.70.0</t>
  </si>
  <si>
    <t xml:space="preserve">Клапан ECAS-4шт, </t>
  </si>
  <si>
    <t>03.346.10.0</t>
  </si>
  <si>
    <t xml:space="preserve">Кран рівня підлоги двохобвідний-4шт, </t>
  </si>
  <si>
    <t>03.389.00.0</t>
  </si>
  <si>
    <t xml:space="preserve">Кран підйому кабіни-2шт, </t>
  </si>
  <si>
    <t>03.301.01.0</t>
  </si>
  <si>
    <t xml:space="preserve">Клапан прискорювальний-2шт, </t>
  </si>
  <si>
    <t>03.305.00.0</t>
  </si>
  <si>
    <t xml:space="preserve">Клапан розвантажувальний чотирьохконтурний-6шт, </t>
  </si>
  <si>
    <t>03.359.09.0</t>
  </si>
  <si>
    <t xml:space="preserve">Клапан магістральний багатопозиційний-4шт, </t>
  </si>
  <si>
    <t>03.443.40.0</t>
  </si>
  <si>
    <t xml:space="preserve">Блок клапанів ELC-4шт, </t>
  </si>
  <si>
    <t>03.444.40.0</t>
  </si>
  <si>
    <t xml:space="preserve">Клапан ECAS-1шт, </t>
  </si>
  <si>
    <t>03.774.11.0</t>
  </si>
  <si>
    <t xml:space="preserve">Клапан магістральний багатопозиційний пневматичний-2шт, </t>
  </si>
  <si>
    <t>01.111.04.0</t>
  </si>
  <si>
    <t xml:space="preserve">Клапан розвантажувальний шестиконтурний-2шт, </t>
  </si>
  <si>
    <t>04.411.00.0</t>
  </si>
  <si>
    <t xml:space="preserve">Кран підйому платформи напівпричіпу пневматичний-32шт, </t>
  </si>
  <si>
    <t>03.460.00.3</t>
  </si>
  <si>
    <t xml:space="preserve">Кран підйому осі-10шт, </t>
  </si>
  <si>
    <t>03.424.00.0</t>
  </si>
  <si>
    <t xml:space="preserve">Модулятор ABS-10шт, </t>
  </si>
  <si>
    <t>03.440.95.0</t>
  </si>
  <si>
    <t xml:space="preserve">Клапан пневматичний ECAS-5шт, </t>
  </si>
  <si>
    <t>03.745.00.0</t>
  </si>
  <si>
    <t xml:space="preserve">Клапан ECAS -3шт, </t>
  </si>
  <si>
    <t>03.443.00.0</t>
  </si>
  <si>
    <t xml:space="preserve">Блок клапанів ELC-2шт, </t>
  </si>
  <si>
    <t>03.447.00.0</t>
  </si>
  <si>
    <t>3926300090</t>
  </si>
  <si>
    <t>10.1045.01.1</t>
  </si>
  <si>
    <t xml:space="preserve">Глушник шуму системи підготовки повітря-10шт, </t>
  </si>
  <si>
    <t>10.1045.06.1</t>
  </si>
  <si>
    <t xml:space="preserve">Глушник шуму системи підготовки повітря-2шт, </t>
  </si>
  <si>
    <t>10.1045.11.1</t>
  </si>
  <si>
    <t>4016930090</t>
  </si>
  <si>
    <t>03.443.00.2</t>
  </si>
  <si>
    <t xml:space="preserve">Комплект ремонтний  блока ELC-2шт, </t>
  </si>
  <si>
    <t>4016995290</t>
  </si>
  <si>
    <t>03.332.09.2</t>
  </si>
  <si>
    <t xml:space="preserve">Комплект ремонтний клапана захисного-6шт, </t>
  </si>
  <si>
    <t>03.353.02.2</t>
  </si>
  <si>
    <t xml:space="preserve">Комплект ремонтний клапана керування гальмами-10шт, </t>
  </si>
  <si>
    <t>03.409.00.2</t>
  </si>
  <si>
    <t xml:space="preserve">Комплект ремонтний модуля керування EBS-8шт, </t>
  </si>
  <si>
    <t xml:space="preserve">Комплект ремонтний крана гальм стояночних-50шт, </t>
  </si>
  <si>
    <t>7307991090</t>
  </si>
  <si>
    <t>10.1100.00.1</t>
  </si>
  <si>
    <t xml:space="preserve">Фітинг прямий метал-20шт, </t>
  </si>
  <si>
    <t>8421298000</t>
  </si>
  <si>
    <t>01.120.88.1</t>
  </si>
  <si>
    <t xml:space="preserve">Фільтр вологовіддільника-10шт, </t>
  </si>
  <si>
    <t>8481101900</t>
  </si>
  <si>
    <t>10.1042.53.0</t>
  </si>
  <si>
    <t xml:space="preserve">Клапан обмеження тиску-2шт, </t>
  </si>
  <si>
    <t>8481401000</t>
  </si>
  <si>
    <t>03.314.05.0</t>
  </si>
  <si>
    <t xml:space="preserve">Клапан перепускний-10шт, </t>
  </si>
  <si>
    <t>03.314.22.0</t>
  </si>
  <si>
    <t xml:space="preserve">Клапан перепускний-4шт, </t>
  </si>
  <si>
    <t>8481809900</t>
  </si>
  <si>
    <t>01.122.09.0</t>
  </si>
  <si>
    <t xml:space="preserve">Вологовіддільник-1шт, </t>
  </si>
  <si>
    <t>01.128.03.0</t>
  </si>
  <si>
    <t xml:space="preserve">Вологовіддільник-2шт, </t>
  </si>
  <si>
    <t>01.128.01.0</t>
  </si>
  <si>
    <t>01.108.01.0</t>
  </si>
  <si>
    <t>01.113.82.0</t>
  </si>
  <si>
    <t xml:space="preserve">Вологовіддільник-15шт, </t>
  </si>
  <si>
    <t>01.120.94.0</t>
  </si>
  <si>
    <t>01.127.42.0</t>
  </si>
  <si>
    <t>01.113.55.0</t>
  </si>
  <si>
    <t xml:space="preserve">Вологовіддільник-10шт, </t>
  </si>
  <si>
    <t>01.128.00.0</t>
  </si>
  <si>
    <t>01.128.20.0</t>
  </si>
  <si>
    <t xml:space="preserve">Вологовіддільник-4шт, </t>
  </si>
  <si>
    <t>01.113.72.0</t>
  </si>
  <si>
    <t>8481900000</t>
  </si>
  <si>
    <t>03.444.06.2</t>
  </si>
  <si>
    <t xml:space="preserve">Комплект ремонтний клапана ECAS-2шт, </t>
  </si>
  <si>
    <t>01.115.04.2</t>
  </si>
  <si>
    <t xml:space="preserve">Комплект ремонтний клапана розвантажувального-20шт, </t>
  </si>
  <si>
    <t>01.112.02.2</t>
  </si>
  <si>
    <t xml:space="preserve">Комплект ремонтний вологовідділювача-2шт, </t>
  </si>
  <si>
    <t>03.444.34.2</t>
  </si>
  <si>
    <t xml:space="preserve">Комплект ремонтний клапана ECAS-4шт, </t>
  </si>
  <si>
    <t>01.127.00.2</t>
  </si>
  <si>
    <t xml:space="preserve">Комплект ремонтний вологовіддільника-4шт, </t>
  </si>
  <si>
    <t>01.131.02.2</t>
  </si>
  <si>
    <t>01.113.27.2</t>
  </si>
  <si>
    <t xml:space="preserve">Комплект ремонтний вологовіддільника-2шт, </t>
  </si>
  <si>
    <t>01.111.01.2</t>
  </si>
  <si>
    <t xml:space="preserve">Комплект ремонтний клапана розвантажувального-2шт, </t>
  </si>
  <si>
    <t>01.175.06.2</t>
  </si>
  <si>
    <t xml:space="preserve">Комплект ремонтний вологовіддільника-10шт, </t>
  </si>
  <si>
    <t>01.128.00.2</t>
  </si>
  <si>
    <t xml:space="preserve">Комплект ремонтний вологовіддільника-25шт, </t>
  </si>
  <si>
    <t>03.451.02.2</t>
  </si>
  <si>
    <t xml:space="preserve">Комплект ремонтний крана ECAS-10шт, </t>
  </si>
  <si>
    <t>01.132.00.2</t>
  </si>
  <si>
    <t xml:space="preserve">Комплект ремонтний вологовіддільника-6шт, </t>
  </si>
  <si>
    <t xml:space="preserve">Комплект ремонтний вологовідділювача-4шт, </t>
  </si>
  <si>
    <t>8505902990</t>
  </si>
  <si>
    <t>03.444.22.0</t>
  </si>
  <si>
    <t xml:space="preserve">Клапан електромагнітний-1шт, </t>
  </si>
  <si>
    <t>03.444.00.0</t>
  </si>
  <si>
    <t xml:space="preserve">Клапан електромагнітний-4шт, </t>
  </si>
  <si>
    <t>8708309998</t>
  </si>
  <si>
    <t>04.405.03.0</t>
  </si>
  <si>
    <t xml:space="preserve">Кран стоянкових гальм-2шт, </t>
  </si>
  <si>
    <t>03.322.59.0</t>
  </si>
  <si>
    <t xml:space="preserve">Регулятор гальмівних сил-1шт, </t>
  </si>
  <si>
    <t>04.439.01.0</t>
  </si>
  <si>
    <t xml:space="preserve">Кран стояночних гальм-6шт, </t>
  </si>
  <si>
    <t>04.405.73.0</t>
  </si>
  <si>
    <t xml:space="preserve">Кран стояночних гальм-1шт, </t>
  </si>
  <si>
    <t>04.442.02.0</t>
  </si>
  <si>
    <t xml:space="preserve">Кран гальмівний ножний-2шт, </t>
  </si>
  <si>
    <t xml:space="preserve">Клапан розгальмовування аварійного-2шт, </t>
  </si>
  <si>
    <t xml:space="preserve">Кран EBS гальмівний-1шт, </t>
  </si>
  <si>
    <t>04.404.02.0</t>
  </si>
  <si>
    <t xml:space="preserve">Регулятор гальмівних сил-2шт, </t>
  </si>
  <si>
    <t xml:space="preserve">Клапан розгальмовування аварійного-25шт, </t>
  </si>
  <si>
    <t xml:space="preserve">Комплект ремонтний крана EBS гальмівного-10шт, </t>
  </si>
  <si>
    <t xml:space="preserve">Комплект ремонтний регулятора гальмівних зусиль-4шт, </t>
  </si>
  <si>
    <t xml:space="preserve">Клапан розгальмовування аварійного пневматичний-4шт, </t>
  </si>
  <si>
    <t xml:space="preserve">Комплект ремонтний крана гальмівного ручного-4шт, </t>
  </si>
  <si>
    <t xml:space="preserve">Кран причіпу гальмівний-4шт, </t>
  </si>
  <si>
    <t xml:space="preserve">Клапан прискорювальний гальм-2шт, </t>
  </si>
  <si>
    <t xml:space="preserve">Комплект ремонтний крана гальм стояночних-2шт, </t>
  </si>
  <si>
    <t xml:space="preserve">Клапан прискорювальний гальм-4шт, </t>
  </si>
  <si>
    <t xml:space="preserve">Кран гальмівний головний-2шт, </t>
  </si>
  <si>
    <t xml:space="preserve">Комплект ремонтний модулятора EBS-1шт, </t>
  </si>
  <si>
    <t xml:space="preserve">Кран причіпу гальмівний-1шт, </t>
  </si>
  <si>
    <t xml:space="preserve">Модулятор ABS-1шт, </t>
  </si>
  <si>
    <t xml:space="preserve">Кран стоянкового гальма-4шт, </t>
  </si>
  <si>
    <t xml:space="preserve">Комплект ремонтний модуля керування EBS-3шт, </t>
  </si>
  <si>
    <t xml:space="preserve">Клапан розгальмовування аварійного-5шт, </t>
  </si>
  <si>
    <t xml:space="preserve">Комплект ремонтний модуля керування EBS-4шт, </t>
  </si>
  <si>
    <t>03.484.02.2</t>
  </si>
  <si>
    <t xml:space="preserve">Комплект ремонтний модуля керування EBS-2шт, </t>
  </si>
  <si>
    <t xml:space="preserve">Комплект ремонтний модулятора ABS-1шт, </t>
  </si>
  <si>
    <t xml:space="preserve">Кран стояночних гальм-10шт, </t>
  </si>
  <si>
    <t xml:space="preserve">Кран гальмівний ножний-4шт, </t>
  </si>
  <si>
    <t>03.401.05.0</t>
  </si>
  <si>
    <t xml:space="preserve">Кран EBS-4шт, </t>
  </si>
  <si>
    <t>8708409998</t>
  </si>
  <si>
    <t>03.740.02.3</t>
  </si>
  <si>
    <t xml:space="preserve">Кран КПШ-1шт, </t>
  </si>
  <si>
    <t>03.711.00.2</t>
  </si>
  <si>
    <t xml:space="preserve">Комплект ремонтний крана КПШ-2шт, </t>
  </si>
  <si>
    <t>03.363.90.0</t>
  </si>
  <si>
    <t xml:space="preserve">Клапан КПШ-4шт, </t>
  </si>
  <si>
    <t>03.746.00.2</t>
  </si>
  <si>
    <t xml:space="preserve">Комплект ремонтний електроклапана-4шт, </t>
  </si>
  <si>
    <t>8708939098</t>
  </si>
  <si>
    <t>09.912.12.0</t>
  </si>
  <si>
    <t xml:space="preserve">Пневмогідропідсилювач зчеплення-2шт, </t>
  </si>
  <si>
    <t>09.914.11.0</t>
  </si>
  <si>
    <t xml:space="preserve">Пневмогідропідсилювач зчеплення-4шт, </t>
  </si>
  <si>
    <t>09.912.31.2</t>
  </si>
  <si>
    <t xml:space="preserve">Комплект ремонтний ПГП-2шт, </t>
  </si>
  <si>
    <t>09.914.10.2</t>
  </si>
  <si>
    <t>09.918.11.2M</t>
  </si>
  <si>
    <t xml:space="preserve">Комплект ремонтний ПГП-4шт, </t>
  </si>
  <si>
    <t>09.912.06.0</t>
  </si>
  <si>
    <t>09.908.15.0</t>
  </si>
  <si>
    <t>09.918.17.0</t>
  </si>
  <si>
    <t xml:space="preserve">Пневмогідропідсилювач зчеплення-1шт, </t>
  </si>
  <si>
    <t>09.912.20.2</t>
  </si>
  <si>
    <t xml:space="preserve">Комплект ремонтний пневмогідропідсилювача-10шт, </t>
  </si>
  <si>
    <t>9026202000</t>
  </si>
  <si>
    <t>01.115.60.1</t>
  </si>
  <si>
    <t xml:space="preserve">Датчик тиску-25шт, </t>
  </si>
  <si>
    <t>Долар США</t>
  </si>
  <si>
    <t>Євро</t>
  </si>
  <si>
    <t>1С</t>
  </si>
  <si>
    <t>04.405.03.2</t>
  </si>
  <si>
    <t>01.175.99.1</t>
  </si>
  <si>
    <t>02.235.02.0</t>
  </si>
  <si>
    <t>01.149.00.0</t>
  </si>
  <si>
    <t>02.250.20.0</t>
  </si>
  <si>
    <t>03.322.58.0</t>
  </si>
  <si>
    <t>01.118.00.0</t>
  </si>
  <si>
    <t>03.403.00.2</t>
  </si>
  <si>
    <t>03.322.02.2</t>
  </si>
  <si>
    <t>03.385.10.0</t>
  </si>
  <si>
    <t>04.424.00.2</t>
  </si>
  <si>
    <t>03.317.01.0</t>
  </si>
  <si>
    <t>02.235.03.0</t>
  </si>
  <si>
    <t>03.306.21.0</t>
  </si>
  <si>
    <t>04.405.05.2</t>
  </si>
  <si>
    <t>03.306.05.0</t>
  </si>
  <si>
    <t>02.224.08.0</t>
  </si>
  <si>
    <t>03.418.15.2</t>
  </si>
  <si>
    <t>03.317.20.0</t>
  </si>
  <si>
    <t>03.423.01.0</t>
  </si>
  <si>
    <t>04.414.95.0</t>
  </si>
  <si>
    <t>03.409.01.2</t>
  </si>
  <si>
    <t>01.148.00.0</t>
  </si>
  <si>
    <t>03.400.04.2</t>
  </si>
  <si>
    <t>03.374.25.0</t>
  </si>
  <si>
    <t>04.439.06.0</t>
  </si>
  <si>
    <t>02.235.00.0</t>
  </si>
  <si>
    <t>03.317.00.0</t>
  </si>
  <si>
    <t>03.418.02.2</t>
  </si>
  <si>
    <t>09.912.29.0</t>
  </si>
  <si>
    <t>03440700FSS</t>
  </si>
  <si>
    <t>03346100FSS</t>
  </si>
  <si>
    <t>03389000FSS</t>
  </si>
  <si>
    <t>03301010FSS</t>
  </si>
  <si>
    <t>03305000FSS</t>
  </si>
  <si>
    <t>03359090FSS</t>
  </si>
  <si>
    <t>03443400FSS</t>
  </si>
  <si>
    <t>03444400FSS</t>
  </si>
  <si>
    <t>03774110FSS</t>
  </si>
  <si>
    <t>01111040FSS</t>
  </si>
  <si>
    <t>04411000FSS</t>
  </si>
  <si>
    <t>03460003FSS</t>
  </si>
  <si>
    <t>03424000FSS</t>
  </si>
  <si>
    <t>03440950FSS</t>
  </si>
  <si>
    <t>03745000FSS</t>
  </si>
  <si>
    <t>03443000FSS</t>
  </si>
  <si>
    <t>03447000FSS</t>
  </si>
  <si>
    <t>101045011FSS</t>
  </si>
  <si>
    <t>101045061FSS</t>
  </si>
  <si>
    <t>101045111FSS</t>
  </si>
  <si>
    <t>03443002FSS</t>
  </si>
  <si>
    <t>03332092FSS</t>
  </si>
  <si>
    <t>03353022FSS</t>
  </si>
  <si>
    <t>03409002FSS</t>
  </si>
  <si>
    <t>04405032FSS</t>
  </si>
  <si>
    <t>101100001FSS</t>
  </si>
  <si>
    <t>01120881FSS</t>
  </si>
  <si>
    <t>101042530FSS</t>
  </si>
  <si>
    <t>03314050FSS</t>
  </si>
  <si>
    <t>03314220FSS</t>
  </si>
  <si>
    <t>01122090FSS</t>
  </si>
  <si>
    <t>01128030FSS</t>
  </si>
  <si>
    <t>01128010FSS</t>
  </si>
  <si>
    <t>01108010FSS</t>
  </si>
  <si>
    <t>01113820FSS</t>
  </si>
  <si>
    <t>01120940FSS</t>
  </si>
  <si>
    <t>01127420FSS</t>
  </si>
  <si>
    <t>01113550FSS</t>
  </si>
  <si>
    <t>01128000FSS</t>
  </si>
  <si>
    <t>01128200FSS</t>
  </si>
  <si>
    <t>01113720FSS</t>
  </si>
  <si>
    <t>03444062FSS</t>
  </si>
  <si>
    <t>01115042FSS</t>
  </si>
  <si>
    <t>01112022FSS</t>
  </si>
  <si>
    <t>03444342FSS</t>
  </si>
  <si>
    <t>01127002FSS</t>
  </si>
  <si>
    <t>01131022FSS</t>
  </si>
  <si>
    <t>01113272FSS</t>
  </si>
  <si>
    <t>01111012FSS</t>
  </si>
  <si>
    <t>01175062FSS</t>
  </si>
  <si>
    <t>01128002FSS</t>
  </si>
  <si>
    <t>03451022FSS</t>
  </si>
  <si>
    <t>01132002FSS</t>
  </si>
  <si>
    <t>01175991FSS</t>
  </si>
  <si>
    <t>03444220FSS</t>
  </si>
  <si>
    <t>03444000FSS</t>
  </si>
  <si>
    <t>04405030FSS</t>
  </si>
  <si>
    <t>03322590FSS</t>
  </si>
  <si>
    <t>04439010FSS</t>
  </si>
  <si>
    <t>04405730FSS</t>
  </si>
  <si>
    <t>04442020FSS</t>
  </si>
  <si>
    <t>02235020FSS</t>
  </si>
  <si>
    <t>01149000FSS</t>
  </si>
  <si>
    <t>02250200FSS</t>
  </si>
  <si>
    <t>04404020FSS</t>
  </si>
  <si>
    <t>03322580FSS</t>
  </si>
  <si>
    <t>01118000FSS</t>
  </si>
  <si>
    <t>03403002FSS</t>
  </si>
  <si>
    <t>03322022FSS</t>
  </si>
  <si>
    <t>03385100FSS</t>
  </si>
  <si>
    <t>04424002FSS</t>
  </si>
  <si>
    <t>03317010FSS</t>
  </si>
  <si>
    <t>02235030FSS</t>
  </si>
  <si>
    <t>03306210FSS</t>
  </si>
  <si>
    <t>04405052FSS</t>
  </si>
  <si>
    <t>03306050FSS</t>
  </si>
  <si>
    <t>02224080FSS</t>
  </si>
  <si>
    <t>03418152FSS</t>
  </si>
  <si>
    <t>03317200FSS</t>
  </si>
  <si>
    <t>03423010FSS</t>
  </si>
  <si>
    <t>04414950FSS</t>
  </si>
  <si>
    <t>03409012FSS</t>
  </si>
  <si>
    <t>01148000FSS</t>
  </si>
  <si>
    <t>03400042FSS</t>
  </si>
  <si>
    <t>03484022FSS</t>
  </si>
  <si>
    <t>03418022FSS</t>
  </si>
  <si>
    <t>03374250FSS</t>
  </si>
  <si>
    <t>04439060FSS</t>
  </si>
  <si>
    <t>02235000FSS</t>
  </si>
  <si>
    <t>03317000FSS</t>
  </si>
  <si>
    <t>03401050FSS</t>
  </si>
  <si>
    <t>03740023FSS</t>
  </si>
  <si>
    <t>03711002FSS</t>
  </si>
  <si>
    <t>03363900FSS</t>
  </si>
  <si>
    <t>03746002FSS</t>
  </si>
  <si>
    <t>09912120FSS</t>
  </si>
  <si>
    <t>09912290FSS</t>
  </si>
  <si>
    <t>09914110FSS</t>
  </si>
  <si>
    <t>09912312FSS</t>
  </si>
  <si>
    <t>09914102FSS</t>
  </si>
  <si>
    <t>09918112MFSS</t>
  </si>
  <si>
    <t>09912060FSS</t>
  </si>
  <si>
    <t>09908150FSS</t>
  </si>
  <si>
    <t>09918170FSS</t>
  </si>
  <si>
    <t>09912202FSS</t>
  </si>
  <si>
    <t>01115601FSS</t>
  </si>
  <si>
    <t>Таможенная стоимость</t>
  </si>
  <si>
    <t>% пошлины</t>
  </si>
  <si>
    <t>Сумма пошлины</t>
  </si>
  <si>
    <t>% акциза</t>
  </si>
  <si>
    <t>Сумма акциза</t>
  </si>
  <si>
    <t>Ставка НДС</t>
  </si>
  <si>
    <t xml:space="preserve">Сумма НДС </t>
  </si>
  <si>
    <t>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</si>
</sst>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Calibri"/>
      <family val="2"/>
      <scheme val="minor"/>
    </font>
    <font>
      <b/>
      <sz val="16"/>
      <color rgb="FF080000"/>
      <name val="Times New Roman"/>
      <family val="1"/>
      <charset val="204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u/>
      <sz val="10"/>
      <color theme="10"/>
      <name val="Calibri"/>
      <family val="2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EAF5E3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4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6" fillId="0" borderId="0"/>
  </cellStyleXfs>
  <cellXfs count="17">
    <xf numFmtId="0" fontId="0" fillId="0" borderId="0" xfId="0"/>
    <xf numFmtId="0" fontId="1" fillId="0" borderId="0" xfId="1" applyFont="1"/>
    <xf numFmtId="0" fontId="0" fillId="0" borderId="2" xfId="1" applyFont="1" applyBorder="1"/>
    <xf numFmtId="0" fontId="0" fillId="2" borderId="1" xfId="1" applyFont="1" applyFill="1" applyBorder="1" applyAlignment="1">
      <alignment horizontal="center" vertical="top" wrapText="1"/>
    </xf>
    <xf numFmtId="0" fontId="0" fillId="0" borderId="2" xfId="1" applyFont="1" applyBorder="1" applyAlignment="1">
      <alignment horizontal="center" vertical="top"/>
    </xf>
    <xf numFmtId="0" fontId="2" fillId="0" borderId="2" xfId="1" applyFont="1" applyBorder="1"/>
    <xf numFmtId="0" fontId="0" fillId="0" borderId="3" xfId="1" applyFont="1" applyBorder="1" applyAlignment="1">
      <alignment horizontal="center" vertical="top"/>
    </xf>
    <xf numFmtId="0" fontId="0" fillId="0" borderId="3" xfId="1" applyFont="1" applyBorder="1"/>
    <xf numFmtId="0" fontId="2" fillId="0" borderId="3" xfId="1" applyFont="1" applyBorder="1"/>
    <xf numFmtId="0" fontId="0" fillId="3" borderId="0" xfId="0" applyFill="1"/>
    <xf numFmtId="0" fontId="5" fillId="4" borderId="4" xfId="2" applyFill="1" applyBorder="1" applyAlignment="1">
      <alignment horizontal="left" vertical="top" wrapText="1"/>
    </xf>
    <xf numFmtId="0" fontId="4" fillId="4" borderId="5" xfId="0" applyFont="1" applyFill="1" applyBorder="1" applyAlignment="1">
      <alignment vertical="top" wrapText="1"/>
    </xf>
    <xf numFmtId="0" fontId="7" fillId="5" borderId="6" xfId="3" applyNumberFormat="1" applyFont="1" applyFill="1" applyBorder="1" applyAlignment="1">
      <alignment horizontal="left" vertical="top"/>
    </xf>
    <xf numFmtId="4" fontId="8" fillId="5" borderId="6" xfId="3" applyNumberFormat="1" applyFont="1" applyFill="1" applyBorder="1" applyAlignment="1">
      <alignment horizontal="right" vertical="top"/>
    </xf>
    <xf numFmtId="0" fontId="8" fillId="5" borderId="6" xfId="3" applyNumberFormat="1" applyFont="1" applyFill="1" applyBorder="1" applyAlignment="1">
      <alignment horizontal="left" vertical="top"/>
    </xf>
    <xf numFmtId="2" fontId="8" fillId="5" borderId="6" xfId="3" applyNumberFormat="1" applyFont="1" applyFill="1" applyBorder="1" applyAlignment="1">
      <alignment horizontal="right" vertical="top"/>
    </xf>
    <xf numFmtId="4" fontId="0" fillId="0" borderId="0" xfId="0" applyNumberFormat="1"/>
  </cellXfs>
  <cellStyles count="4">
    <cellStyle name="Normal" xfId="1" xr:uid="{00000000-0005-0000-0000-000000000000}"/>
    <cellStyle name="Гиперссылка" xfId="2" builtinId="8"/>
    <cellStyle name="Обычный" xfId="0" builtinId="0"/>
    <cellStyle name="Обычный_Sheet1" xfId="3" xr:uid="{0FC18718-19EF-4688-8771-63CE99452D03}"/>
  </cellStyles>
  <dxfs count="1">
    <dxf>
      <fill>
        <patternFill patternType="solid">
          <fgColor rgb="FFCCFFCC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ank.gov.ua/markets/exchangerate-chart?cn%5b%5d=EUR" TargetMode="External"/><Relationship Id="rId1" Type="http://schemas.openxmlformats.org/officeDocument/2006/relationships/hyperlink" Target="https://bank.gov.ua/markets/exchangerate-chart?cn%5b%5d=U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9"/>
  <sheetViews>
    <sheetView tabSelected="1" topLeftCell="A100" workbookViewId="0">
      <selection activeCell="G129" sqref="G129:M129"/>
    </sheetView>
  </sheetViews>
  <sheetFormatPr defaultRowHeight="13.8" x14ac:dyDescent="0.3"/>
  <cols>
    <col min="1" max="1" width="11.6640625" customWidth="1"/>
    <col min="2" max="3" width="15.6640625" customWidth="1"/>
    <col min="4" max="4" width="39.109375" customWidth="1"/>
    <col min="5" max="7" width="11.33203125" customWidth="1"/>
    <col min="8" max="13" width="11.6640625" customWidth="1"/>
    <col min="14" max="14" width="3.88671875" customWidth="1"/>
  </cols>
  <sheetData>
    <row r="1" spans="1:19" ht="28.2" thickBot="1" x14ac:dyDescent="0.35">
      <c r="R1" s="10" t="s">
        <v>192</v>
      </c>
      <c r="S1" s="11">
        <v>44.6676</v>
      </c>
    </row>
    <row r="2" spans="1:19" ht="21" thickBot="1" x14ac:dyDescent="0.4">
      <c r="A2" s="1" t="s">
        <v>0</v>
      </c>
      <c r="R2" s="10" t="s">
        <v>193</v>
      </c>
      <c r="S2" s="11">
        <v>51.0595</v>
      </c>
    </row>
    <row r="3" spans="1:19" x14ac:dyDescent="0.3">
      <c r="S3">
        <f>S1/S2</f>
        <v>0.87481467699448678</v>
      </c>
    </row>
    <row r="4" spans="1:19" ht="27.6" x14ac:dyDescent="0.3">
      <c r="A4" s="3" t="s">
        <v>1</v>
      </c>
      <c r="B4" s="3" t="s">
        <v>2</v>
      </c>
      <c r="C4" s="3"/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194</v>
      </c>
      <c r="K4" s="3" t="s">
        <v>9</v>
      </c>
      <c r="L4" s="3" t="s">
        <v>10</v>
      </c>
      <c r="M4" s="3" t="s">
        <v>12</v>
      </c>
      <c r="N4" s="3" t="s">
        <v>11</v>
      </c>
    </row>
    <row r="5" spans="1:19" x14ac:dyDescent="0.3">
      <c r="A5" s="4" t="s">
        <v>13</v>
      </c>
      <c r="B5" s="2" t="s">
        <v>14</v>
      </c>
      <c r="C5" s="2" t="s">
        <v>225</v>
      </c>
      <c r="D5" s="2" t="s">
        <v>15</v>
      </c>
      <c r="E5" s="2">
        <v>10.944000000000001</v>
      </c>
      <c r="F5" s="2">
        <v>9.92</v>
      </c>
      <c r="G5" s="2">
        <v>74</v>
      </c>
      <c r="H5" s="2">
        <v>4</v>
      </c>
      <c r="I5" s="2">
        <v>296</v>
      </c>
      <c r="J5" s="2">
        <v>258.95</v>
      </c>
      <c r="K5" s="2">
        <v>13289.28</v>
      </c>
      <c r="L5" s="2">
        <v>0</v>
      </c>
      <c r="M5" s="2">
        <v>2657.86</v>
      </c>
      <c r="N5" s="2">
        <v>0</v>
      </c>
    </row>
    <row r="6" spans="1:19" x14ac:dyDescent="0.3">
      <c r="A6" s="4" t="s">
        <v>13</v>
      </c>
      <c r="B6" s="2" t="s">
        <v>16</v>
      </c>
      <c r="C6" s="2" t="s">
        <v>226</v>
      </c>
      <c r="D6" s="2" t="s">
        <v>17</v>
      </c>
      <c r="E6" s="2">
        <v>1.8089999999999999</v>
      </c>
      <c r="F6" s="2">
        <v>1.64</v>
      </c>
      <c r="G6" s="2">
        <v>25</v>
      </c>
      <c r="H6" s="2">
        <v>4</v>
      </c>
      <c r="I6" s="2">
        <v>100</v>
      </c>
      <c r="J6" s="2">
        <v>87.48</v>
      </c>
      <c r="K6" s="2">
        <v>4477.95</v>
      </c>
      <c r="L6" s="2">
        <v>0</v>
      </c>
      <c r="M6" s="2">
        <v>895.59</v>
      </c>
      <c r="N6" s="2">
        <v>0</v>
      </c>
    </row>
    <row r="7" spans="1:19" x14ac:dyDescent="0.3">
      <c r="A7" s="6" t="s">
        <v>13</v>
      </c>
      <c r="B7" s="7" t="s">
        <v>18</v>
      </c>
      <c r="C7" s="2" t="s">
        <v>227</v>
      </c>
      <c r="D7" s="7" t="s">
        <v>19</v>
      </c>
      <c r="E7" s="7">
        <v>0.91600000000000004</v>
      </c>
      <c r="F7" s="7">
        <v>0.83</v>
      </c>
      <c r="G7" s="7">
        <v>19.5</v>
      </c>
      <c r="H7" s="7">
        <v>2</v>
      </c>
      <c r="I7" s="7">
        <v>39</v>
      </c>
      <c r="J7" s="2">
        <v>34.119999999999997</v>
      </c>
      <c r="K7" s="7">
        <v>1747.7</v>
      </c>
      <c r="L7" s="7">
        <v>0</v>
      </c>
      <c r="M7" s="7">
        <v>349.54</v>
      </c>
      <c r="N7" s="2">
        <v>0</v>
      </c>
    </row>
    <row r="8" spans="1:19" x14ac:dyDescent="0.3">
      <c r="A8" s="4" t="s">
        <v>13</v>
      </c>
      <c r="B8" s="2" t="s">
        <v>20</v>
      </c>
      <c r="C8" s="2" t="s">
        <v>228</v>
      </c>
      <c r="D8" s="2" t="s">
        <v>21</v>
      </c>
      <c r="E8" s="2">
        <v>1.853</v>
      </c>
      <c r="F8" s="2">
        <v>1.68</v>
      </c>
      <c r="G8" s="2">
        <v>14.5</v>
      </c>
      <c r="H8" s="2">
        <v>2</v>
      </c>
      <c r="I8" s="2">
        <v>29</v>
      </c>
      <c r="J8" s="2">
        <v>25.37</v>
      </c>
      <c r="K8" s="2">
        <v>1306.82</v>
      </c>
      <c r="L8" s="2">
        <v>0</v>
      </c>
      <c r="M8" s="2">
        <v>261.36</v>
      </c>
      <c r="N8" s="2">
        <v>0</v>
      </c>
    </row>
    <row r="9" spans="1:19" x14ac:dyDescent="0.3">
      <c r="A9" s="4" t="s">
        <v>13</v>
      </c>
      <c r="B9" s="2" t="s">
        <v>22</v>
      </c>
      <c r="C9" s="2" t="s">
        <v>229</v>
      </c>
      <c r="D9" s="2" t="s">
        <v>23</v>
      </c>
      <c r="E9" s="2">
        <v>5.7919999999999998</v>
      </c>
      <c r="F9" s="2">
        <v>5.25</v>
      </c>
      <c r="G9" s="2">
        <v>37</v>
      </c>
      <c r="H9" s="2">
        <v>6</v>
      </c>
      <c r="I9" s="2">
        <v>222</v>
      </c>
      <c r="J9" s="2">
        <v>194.21</v>
      </c>
      <c r="K9" s="2">
        <v>9952.02</v>
      </c>
      <c r="L9" s="2">
        <v>0</v>
      </c>
      <c r="M9" s="2">
        <v>1990.4</v>
      </c>
      <c r="N9" s="2">
        <v>0</v>
      </c>
    </row>
    <row r="10" spans="1:19" x14ac:dyDescent="0.3">
      <c r="A10" s="4" t="s">
        <v>13</v>
      </c>
      <c r="B10" s="2" t="s">
        <v>24</v>
      </c>
      <c r="C10" s="2" t="s">
        <v>230</v>
      </c>
      <c r="D10" s="2" t="s">
        <v>25</v>
      </c>
      <c r="E10" s="2">
        <v>0.88300000000000001</v>
      </c>
      <c r="F10" s="2">
        <v>0.8</v>
      </c>
      <c r="G10" s="2">
        <v>9</v>
      </c>
      <c r="H10" s="2">
        <v>4</v>
      </c>
      <c r="I10" s="2">
        <v>36</v>
      </c>
      <c r="J10" s="2">
        <v>31.49</v>
      </c>
      <c r="K10" s="2">
        <v>1613.49</v>
      </c>
      <c r="L10" s="2">
        <v>0</v>
      </c>
      <c r="M10" s="2">
        <v>322.7</v>
      </c>
      <c r="N10" s="2">
        <v>0</v>
      </c>
    </row>
    <row r="11" spans="1:19" x14ac:dyDescent="0.3">
      <c r="A11" s="6" t="s">
        <v>13</v>
      </c>
      <c r="B11" s="7" t="s">
        <v>26</v>
      </c>
      <c r="C11" s="2" t="s">
        <v>231</v>
      </c>
      <c r="D11" s="7" t="s">
        <v>27</v>
      </c>
      <c r="E11" s="7">
        <v>6.7960000000000003</v>
      </c>
      <c r="F11" s="7">
        <v>6.16</v>
      </c>
      <c r="G11" s="7">
        <v>78</v>
      </c>
      <c r="H11" s="7">
        <v>4</v>
      </c>
      <c r="I11" s="7">
        <v>312</v>
      </c>
      <c r="J11" s="2">
        <v>272.94</v>
      </c>
      <c r="K11" s="7">
        <v>13978.31</v>
      </c>
      <c r="L11" s="7">
        <v>0</v>
      </c>
      <c r="M11" s="7">
        <v>2795.66</v>
      </c>
      <c r="N11" s="2">
        <v>0</v>
      </c>
    </row>
    <row r="12" spans="1:19" x14ac:dyDescent="0.3">
      <c r="A12" s="4" t="s">
        <v>13</v>
      </c>
      <c r="B12" s="2" t="s">
        <v>28</v>
      </c>
      <c r="C12" s="2" t="s">
        <v>232</v>
      </c>
      <c r="D12" s="2" t="s">
        <v>29</v>
      </c>
      <c r="E12" s="2">
        <v>5.5380000000000003</v>
      </c>
      <c r="F12" s="2">
        <v>5.0199999999999996</v>
      </c>
      <c r="G12" s="2">
        <v>145</v>
      </c>
      <c r="H12" s="2">
        <v>1</v>
      </c>
      <c r="I12" s="2">
        <v>145</v>
      </c>
      <c r="J12" s="2">
        <v>126.85</v>
      </c>
      <c r="K12" s="2">
        <v>6511.04</v>
      </c>
      <c r="L12" s="2">
        <v>0</v>
      </c>
      <c r="M12" s="2">
        <v>1302.21</v>
      </c>
      <c r="N12" s="2">
        <v>0</v>
      </c>
    </row>
    <row r="13" spans="1:19" x14ac:dyDescent="0.3">
      <c r="A13" s="6" t="s">
        <v>13</v>
      </c>
      <c r="B13" s="7" t="s">
        <v>30</v>
      </c>
      <c r="C13" s="2" t="s">
        <v>233</v>
      </c>
      <c r="D13" s="7" t="s">
        <v>31</v>
      </c>
      <c r="E13" s="7">
        <v>0.77200000000000002</v>
      </c>
      <c r="F13" s="7">
        <v>0.7</v>
      </c>
      <c r="G13" s="7">
        <v>21</v>
      </c>
      <c r="H13" s="7">
        <v>2</v>
      </c>
      <c r="I13" s="7">
        <v>42</v>
      </c>
      <c r="J13" s="2">
        <v>36.74</v>
      </c>
      <c r="K13" s="7">
        <v>1880.81</v>
      </c>
      <c r="L13" s="7">
        <v>0</v>
      </c>
      <c r="M13" s="7">
        <v>376.16</v>
      </c>
      <c r="N13" s="2">
        <v>0</v>
      </c>
    </row>
    <row r="14" spans="1:19" x14ac:dyDescent="0.3">
      <c r="A14" s="4" t="s">
        <v>13</v>
      </c>
      <c r="B14" s="2" t="s">
        <v>32</v>
      </c>
      <c r="C14" s="2" t="s">
        <v>234</v>
      </c>
      <c r="D14" s="2" t="s">
        <v>33</v>
      </c>
      <c r="E14" s="2">
        <v>4.2590000000000003</v>
      </c>
      <c r="F14" s="2">
        <v>3.86</v>
      </c>
      <c r="G14" s="2">
        <v>78</v>
      </c>
      <c r="H14" s="2">
        <v>2</v>
      </c>
      <c r="I14" s="2">
        <v>156</v>
      </c>
      <c r="J14" s="2">
        <v>136.47</v>
      </c>
      <c r="K14" s="2">
        <v>6994.48</v>
      </c>
      <c r="L14" s="2">
        <v>0</v>
      </c>
      <c r="M14" s="2">
        <v>1398.9</v>
      </c>
      <c r="N14" s="2">
        <v>0</v>
      </c>
    </row>
    <row r="15" spans="1:19" x14ac:dyDescent="0.3">
      <c r="A15" s="4" t="s">
        <v>13</v>
      </c>
      <c r="B15" s="2" t="s">
        <v>34</v>
      </c>
      <c r="C15" s="2" t="s">
        <v>235</v>
      </c>
      <c r="D15" s="2" t="s">
        <v>35</v>
      </c>
      <c r="E15" s="2">
        <v>45.366</v>
      </c>
      <c r="F15" s="2">
        <v>41.12</v>
      </c>
      <c r="G15" s="2">
        <v>25</v>
      </c>
      <c r="H15" s="2">
        <v>32</v>
      </c>
      <c r="I15" s="2">
        <v>800</v>
      </c>
      <c r="J15" s="2">
        <v>699.85</v>
      </c>
      <c r="K15" s="2">
        <v>36014.58</v>
      </c>
      <c r="L15" s="2">
        <v>0</v>
      </c>
      <c r="M15" s="2">
        <v>7202.92</v>
      </c>
      <c r="N15" s="2">
        <v>0</v>
      </c>
    </row>
    <row r="16" spans="1:19" x14ac:dyDescent="0.3">
      <c r="A16" s="4" t="s">
        <v>13</v>
      </c>
      <c r="B16" s="2" t="s">
        <v>36</v>
      </c>
      <c r="C16" s="2" t="s">
        <v>236</v>
      </c>
      <c r="D16" s="2" t="s">
        <v>37</v>
      </c>
      <c r="E16" s="2">
        <v>6.0679999999999996</v>
      </c>
      <c r="F16" s="2">
        <v>5.5</v>
      </c>
      <c r="G16" s="2">
        <v>49</v>
      </c>
      <c r="H16" s="2">
        <v>10</v>
      </c>
      <c r="I16" s="2">
        <v>490</v>
      </c>
      <c r="J16" s="2">
        <v>428.66</v>
      </c>
      <c r="K16" s="2">
        <v>21924.639999999999</v>
      </c>
      <c r="L16" s="2">
        <v>0</v>
      </c>
      <c r="M16" s="2">
        <v>4384.93</v>
      </c>
      <c r="N16" s="2">
        <v>0</v>
      </c>
    </row>
    <row r="17" spans="1:14" x14ac:dyDescent="0.3">
      <c r="A17" s="4" t="s">
        <v>13</v>
      </c>
      <c r="B17" s="2" t="s">
        <v>38</v>
      </c>
      <c r="C17" s="2" t="s">
        <v>237</v>
      </c>
      <c r="D17" s="2" t="s">
        <v>39</v>
      </c>
      <c r="E17" s="2">
        <v>13.791</v>
      </c>
      <c r="F17" s="2">
        <v>12.5</v>
      </c>
      <c r="G17" s="2">
        <v>45</v>
      </c>
      <c r="H17" s="2">
        <v>10</v>
      </c>
      <c r="I17" s="2">
        <v>450</v>
      </c>
      <c r="J17" s="2">
        <v>393.67</v>
      </c>
      <c r="K17" s="2">
        <v>20185.689999999999</v>
      </c>
      <c r="L17" s="2">
        <v>0</v>
      </c>
      <c r="M17" s="2">
        <v>4037.14</v>
      </c>
      <c r="N17" s="2">
        <v>0</v>
      </c>
    </row>
    <row r="18" spans="1:14" x14ac:dyDescent="0.3">
      <c r="A18" s="6" t="s">
        <v>13</v>
      </c>
      <c r="B18" s="7" t="s">
        <v>40</v>
      </c>
      <c r="C18" s="2" t="s">
        <v>238</v>
      </c>
      <c r="D18" s="7" t="s">
        <v>41</v>
      </c>
      <c r="E18" s="7">
        <v>29.126000000000001</v>
      </c>
      <c r="F18" s="7">
        <v>26.4</v>
      </c>
      <c r="G18" s="7">
        <v>149</v>
      </c>
      <c r="H18" s="7">
        <v>5</v>
      </c>
      <c r="I18" s="7">
        <v>745</v>
      </c>
      <c r="J18" s="2">
        <v>651.74</v>
      </c>
      <c r="K18" s="7">
        <v>33457.449999999997</v>
      </c>
      <c r="L18" s="7">
        <v>0</v>
      </c>
      <c r="M18" s="7">
        <v>6691.49</v>
      </c>
      <c r="N18" s="2">
        <v>0</v>
      </c>
    </row>
    <row r="19" spans="1:14" x14ac:dyDescent="0.3">
      <c r="A19" s="4" t="s">
        <v>13</v>
      </c>
      <c r="B19" s="2" t="s">
        <v>42</v>
      </c>
      <c r="C19" s="2" t="s">
        <v>239</v>
      </c>
      <c r="D19" s="2" t="s">
        <v>43</v>
      </c>
      <c r="E19" s="2">
        <v>6.3120000000000003</v>
      </c>
      <c r="F19" s="2">
        <v>5.7210000000000001</v>
      </c>
      <c r="G19" s="2">
        <v>100</v>
      </c>
      <c r="H19" s="2">
        <v>3</v>
      </c>
      <c r="I19" s="2">
        <v>300</v>
      </c>
      <c r="J19" s="2">
        <v>262.44</v>
      </c>
      <c r="K19" s="2">
        <v>13439.31</v>
      </c>
      <c r="L19" s="2">
        <v>0</v>
      </c>
      <c r="M19" s="2">
        <v>2687.86</v>
      </c>
      <c r="N19" s="2">
        <v>0</v>
      </c>
    </row>
    <row r="20" spans="1:14" x14ac:dyDescent="0.3">
      <c r="A20" s="6" t="s">
        <v>13</v>
      </c>
      <c r="B20" s="7" t="s">
        <v>44</v>
      </c>
      <c r="C20" s="2" t="s">
        <v>240</v>
      </c>
      <c r="D20" s="7" t="s">
        <v>45</v>
      </c>
      <c r="E20" s="7">
        <v>3.4750000000000001</v>
      </c>
      <c r="F20" s="7">
        <v>3.15</v>
      </c>
      <c r="G20" s="7">
        <v>69</v>
      </c>
      <c r="H20" s="7">
        <v>2</v>
      </c>
      <c r="I20" s="7">
        <v>138</v>
      </c>
      <c r="J20" s="2">
        <v>120.72</v>
      </c>
      <c r="K20" s="7">
        <v>6185.61</v>
      </c>
      <c r="L20" s="7">
        <v>0</v>
      </c>
      <c r="M20" s="7">
        <v>1237.1199999999999</v>
      </c>
      <c r="N20" s="2">
        <v>0</v>
      </c>
    </row>
    <row r="21" spans="1:14" x14ac:dyDescent="0.3">
      <c r="A21" s="4" t="s">
        <v>13</v>
      </c>
      <c r="B21" s="2" t="s">
        <v>46</v>
      </c>
      <c r="C21" s="2" t="s">
        <v>241</v>
      </c>
      <c r="D21" s="2" t="s">
        <v>37</v>
      </c>
      <c r="E21" s="2">
        <v>8.6050000000000004</v>
      </c>
      <c r="F21" s="2">
        <v>7.8</v>
      </c>
      <c r="G21" s="2">
        <v>29</v>
      </c>
      <c r="H21" s="2">
        <v>10</v>
      </c>
      <c r="I21" s="2">
        <v>290</v>
      </c>
      <c r="J21" s="2">
        <v>253.7</v>
      </c>
      <c r="K21" s="2">
        <v>13006.81</v>
      </c>
      <c r="L21" s="2">
        <v>0</v>
      </c>
      <c r="M21" s="2">
        <v>2601.36</v>
      </c>
      <c r="N21" s="2">
        <v>0</v>
      </c>
    </row>
    <row r="22" spans="1:14" x14ac:dyDescent="0.3">
      <c r="A22" s="6" t="s">
        <v>47</v>
      </c>
      <c r="B22" s="7" t="s">
        <v>48</v>
      </c>
      <c r="C22" s="2" t="s">
        <v>242</v>
      </c>
      <c r="D22" s="7" t="s">
        <v>49</v>
      </c>
      <c r="E22" s="7">
        <v>0.88300000000000001</v>
      </c>
      <c r="F22" s="7">
        <v>0.8</v>
      </c>
      <c r="G22" s="7">
        <v>2.75</v>
      </c>
      <c r="H22" s="7">
        <v>10</v>
      </c>
      <c r="I22" s="7">
        <v>27.5</v>
      </c>
      <c r="J22" s="2">
        <v>24.06</v>
      </c>
      <c r="K22" s="7">
        <v>1233.82</v>
      </c>
      <c r="L22" s="8">
        <f>SUM(80.2,-0.01)</f>
        <v>80.19</v>
      </c>
      <c r="M22" s="8">
        <f>SUM(262.8,0.01)</f>
        <v>262.81</v>
      </c>
      <c r="N22" s="2">
        <v>6.5</v>
      </c>
    </row>
    <row r="23" spans="1:14" x14ac:dyDescent="0.3">
      <c r="A23" s="4" t="s">
        <v>47</v>
      </c>
      <c r="B23" s="2" t="s">
        <v>50</v>
      </c>
      <c r="C23" s="2" t="s">
        <v>243</v>
      </c>
      <c r="D23" s="2" t="s">
        <v>51</v>
      </c>
      <c r="E23" s="2">
        <v>1.5669999999999999</v>
      </c>
      <c r="F23" s="2">
        <v>1.42</v>
      </c>
      <c r="G23" s="2">
        <v>3.75</v>
      </c>
      <c r="H23" s="2">
        <v>2</v>
      </c>
      <c r="I23" s="2">
        <v>7.5</v>
      </c>
      <c r="J23" s="2">
        <v>6.56</v>
      </c>
      <c r="K23" s="2">
        <v>344.7</v>
      </c>
      <c r="L23" s="2">
        <v>22.41</v>
      </c>
      <c r="M23" s="2">
        <v>73.42</v>
      </c>
      <c r="N23" s="2">
        <v>6.5</v>
      </c>
    </row>
    <row r="24" spans="1:14" x14ac:dyDescent="0.3">
      <c r="A24" s="6" t="s">
        <v>47</v>
      </c>
      <c r="B24" s="7" t="s">
        <v>52</v>
      </c>
      <c r="C24" s="2" t="s">
        <v>244</v>
      </c>
      <c r="D24" s="7" t="s">
        <v>51</v>
      </c>
      <c r="E24" s="7">
        <v>0.441</v>
      </c>
      <c r="F24" s="7">
        <v>0.4</v>
      </c>
      <c r="G24" s="7">
        <v>5</v>
      </c>
      <c r="H24" s="7">
        <v>2</v>
      </c>
      <c r="I24" s="7">
        <v>10</v>
      </c>
      <c r="J24" s="2">
        <v>8.75</v>
      </c>
      <c r="K24" s="7">
        <v>449.4</v>
      </c>
      <c r="L24" s="7">
        <v>29.21</v>
      </c>
      <c r="M24" s="7">
        <v>95.72</v>
      </c>
      <c r="N24" s="2">
        <v>6.5</v>
      </c>
    </row>
    <row r="25" spans="1:14" x14ac:dyDescent="0.3">
      <c r="A25" s="4" t="s">
        <v>53</v>
      </c>
      <c r="B25" s="2" t="s">
        <v>54</v>
      </c>
      <c r="C25" s="2" t="s">
        <v>245</v>
      </c>
      <c r="D25" s="2" t="s">
        <v>55</v>
      </c>
      <c r="E25" s="2">
        <v>0.254</v>
      </c>
      <c r="F25" s="2">
        <v>0.23</v>
      </c>
      <c r="G25" s="2">
        <v>14.5</v>
      </c>
      <c r="H25" s="2">
        <v>2</v>
      </c>
      <c r="I25" s="2">
        <v>29</v>
      </c>
      <c r="J25" s="2">
        <v>25.37</v>
      </c>
      <c r="K25" s="2">
        <v>1296.93</v>
      </c>
      <c r="L25" s="2">
        <v>129.69</v>
      </c>
      <c r="M25" s="2">
        <v>285.32</v>
      </c>
      <c r="N25" s="2">
        <v>10</v>
      </c>
    </row>
    <row r="26" spans="1:14" x14ac:dyDescent="0.3">
      <c r="A26" s="4" t="s">
        <v>56</v>
      </c>
      <c r="B26" s="2" t="s">
        <v>57</v>
      </c>
      <c r="C26" s="2" t="s">
        <v>246</v>
      </c>
      <c r="D26" s="2" t="s">
        <v>58</v>
      </c>
      <c r="E26" s="2">
        <v>0.76100000000000001</v>
      </c>
      <c r="F26" s="2">
        <v>0.69</v>
      </c>
      <c r="G26" s="2">
        <v>8.5</v>
      </c>
      <c r="H26" s="2">
        <v>6</v>
      </c>
      <c r="I26" s="2">
        <v>51</v>
      </c>
      <c r="J26" s="2">
        <v>44.62</v>
      </c>
      <c r="K26" s="2">
        <v>2282.75</v>
      </c>
      <c r="L26" s="2">
        <v>228.28</v>
      </c>
      <c r="M26" s="2">
        <v>502.21</v>
      </c>
      <c r="N26" s="2">
        <v>10</v>
      </c>
    </row>
    <row r="27" spans="1:14" x14ac:dyDescent="0.3">
      <c r="A27" s="6" t="s">
        <v>56</v>
      </c>
      <c r="B27" s="7" t="s">
        <v>59</v>
      </c>
      <c r="C27" s="2" t="s">
        <v>247</v>
      </c>
      <c r="D27" s="7" t="s">
        <v>60</v>
      </c>
      <c r="E27" s="7">
        <v>1.2689999999999999</v>
      </c>
      <c r="F27" s="7">
        <v>1.1499999999999999</v>
      </c>
      <c r="G27" s="7">
        <v>8</v>
      </c>
      <c r="H27" s="7">
        <v>10</v>
      </c>
      <c r="I27" s="7">
        <v>80</v>
      </c>
      <c r="J27" s="2">
        <v>69.989999999999995</v>
      </c>
      <c r="K27" s="7">
        <v>3581.25</v>
      </c>
      <c r="L27" s="7">
        <v>358.13</v>
      </c>
      <c r="M27" s="7">
        <v>787.88</v>
      </c>
      <c r="N27" s="2">
        <v>10</v>
      </c>
    </row>
    <row r="28" spans="1:14" x14ac:dyDescent="0.3">
      <c r="A28" s="4" t="s">
        <v>56</v>
      </c>
      <c r="B28" s="2" t="s">
        <v>61</v>
      </c>
      <c r="C28" s="2" t="s">
        <v>248</v>
      </c>
      <c r="D28" s="2" t="s">
        <v>62</v>
      </c>
      <c r="E28" s="2">
        <v>1.7210000000000001</v>
      </c>
      <c r="F28" s="2">
        <v>1.56</v>
      </c>
      <c r="G28" s="2">
        <v>19.5</v>
      </c>
      <c r="H28" s="2">
        <v>8</v>
      </c>
      <c r="I28" s="2">
        <v>156</v>
      </c>
      <c r="J28" s="2">
        <v>136.47</v>
      </c>
      <c r="K28" s="2">
        <v>6978.79</v>
      </c>
      <c r="L28" s="2">
        <v>697.88</v>
      </c>
      <c r="M28" s="2">
        <v>1535.33</v>
      </c>
      <c r="N28" s="2">
        <v>10</v>
      </c>
    </row>
    <row r="29" spans="1:14" x14ac:dyDescent="0.3">
      <c r="A29" s="4" t="s">
        <v>56</v>
      </c>
      <c r="B29" s="2" t="s">
        <v>195</v>
      </c>
      <c r="C29" s="2" t="s">
        <v>249</v>
      </c>
      <c r="D29" s="2" t="s">
        <v>63</v>
      </c>
      <c r="E29" s="2">
        <v>4.1369999999999996</v>
      </c>
      <c r="F29" s="2">
        <v>3.75</v>
      </c>
      <c r="G29" s="2">
        <v>6.5</v>
      </c>
      <c r="H29" s="2">
        <v>50</v>
      </c>
      <c r="I29" s="2">
        <v>325</v>
      </c>
      <c r="J29" s="2">
        <v>284.31</v>
      </c>
      <c r="K29" s="2">
        <v>14542.55</v>
      </c>
      <c r="L29" s="5">
        <f>SUM(1454.26,-0.02)</f>
        <v>1454.24</v>
      </c>
      <c r="M29" s="5">
        <f>SUM(3199.36,-0.01)</f>
        <v>3199.35</v>
      </c>
      <c r="N29" s="2">
        <v>10</v>
      </c>
    </row>
    <row r="30" spans="1:14" x14ac:dyDescent="0.3">
      <c r="A30" s="4" t="s">
        <v>64</v>
      </c>
      <c r="B30" s="2" t="s">
        <v>65</v>
      </c>
      <c r="C30" s="2" t="s">
        <v>250</v>
      </c>
      <c r="D30" s="2" t="s">
        <v>66</v>
      </c>
      <c r="E30" s="2">
        <v>0.55200000000000005</v>
      </c>
      <c r="F30" s="2">
        <v>0.5</v>
      </c>
      <c r="G30" s="2">
        <v>2.75</v>
      </c>
      <c r="H30" s="2">
        <v>20</v>
      </c>
      <c r="I30" s="2">
        <v>55</v>
      </c>
      <c r="J30" s="2">
        <v>48.11</v>
      </c>
      <c r="K30" s="2">
        <v>2460.13</v>
      </c>
      <c r="L30" s="2">
        <v>123.01</v>
      </c>
      <c r="M30" s="2">
        <v>516.63</v>
      </c>
      <c r="N30" s="2">
        <v>5</v>
      </c>
    </row>
    <row r="31" spans="1:14" x14ac:dyDescent="0.3">
      <c r="A31" s="4" t="s">
        <v>67</v>
      </c>
      <c r="B31" s="2" t="s">
        <v>68</v>
      </c>
      <c r="C31" s="2" t="s">
        <v>251</v>
      </c>
      <c r="D31" s="2" t="s">
        <v>69</v>
      </c>
      <c r="E31" s="2">
        <v>25.870999999999999</v>
      </c>
      <c r="F31" s="2">
        <v>23.45</v>
      </c>
      <c r="G31" s="2">
        <v>14</v>
      </c>
      <c r="H31" s="2">
        <v>10</v>
      </c>
      <c r="I31" s="2">
        <v>140</v>
      </c>
      <c r="J31" s="2">
        <v>122.47</v>
      </c>
      <c r="K31" s="2">
        <v>6413.43</v>
      </c>
      <c r="L31" s="2">
        <v>0</v>
      </c>
      <c r="M31" s="2">
        <v>1282.69</v>
      </c>
      <c r="N31" s="2">
        <v>0</v>
      </c>
    </row>
    <row r="32" spans="1:14" x14ac:dyDescent="0.3">
      <c r="A32" s="4" t="s">
        <v>70</v>
      </c>
      <c r="B32" s="2" t="s">
        <v>71</v>
      </c>
      <c r="C32" s="2" t="s">
        <v>252</v>
      </c>
      <c r="D32" s="2" t="s">
        <v>72</v>
      </c>
      <c r="E32" s="2">
        <v>0.55200000000000005</v>
      </c>
      <c r="F32" s="2">
        <v>0.5</v>
      </c>
      <c r="G32" s="2">
        <v>16</v>
      </c>
      <c r="H32" s="2">
        <v>2</v>
      </c>
      <c r="I32" s="2">
        <v>32</v>
      </c>
      <c r="J32" s="2">
        <v>27.99</v>
      </c>
      <c r="K32" s="2">
        <v>1432.78</v>
      </c>
      <c r="L32" s="2">
        <v>0</v>
      </c>
      <c r="M32" s="2">
        <v>286.56</v>
      </c>
      <c r="N32" s="2">
        <v>0</v>
      </c>
    </row>
    <row r="33" spans="1:14" x14ac:dyDescent="0.3">
      <c r="A33" s="4" t="s">
        <v>73</v>
      </c>
      <c r="B33" s="2" t="s">
        <v>74</v>
      </c>
      <c r="C33" s="2" t="s">
        <v>253</v>
      </c>
      <c r="D33" s="2" t="s">
        <v>75</v>
      </c>
      <c r="E33" s="2">
        <v>5.516</v>
      </c>
      <c r="F33" s="2">
        <v>5</v>
      </c>
      <c r="G33" s="2">
        <v>11</v>
      </c>
      <c r="H33" s="2">
        <v>10</v>
      </c>
      <c r="I33" s="2">
        <v>110</v>
      </c>
      <c r="J33" s="2">
        <v>96.23</v>
      </c>
      <c r="K33" s="2">
        <v>4947.54</v>
      </c>
      <c r="L33" s="2">
        <v>0</v>
      </c>
      <c r="M33" s="5">
        <f>SUM(989.51,-0.01)</f>
        <v>989.5</v>
      </c>
      <c r="N33" s="2">
        <v>0</v>
      </c>
    </row>
    <row r="34" spans="1:14" x14ac:dyDescent="0.3">
      <c r="A34" s="4" t="s">
        <v>73</v>
      </c>
      <c r="B34" s="2" t="s">
        <v>76</v>
      </c>
      <c r="C34" s="2" t="s">
        <v>254</v>
      </c>
      <c r="D34" s="2" t="s">
        <v>77</v>
      </c>
      <c r="E34" s="2">
        <v>2.1840000000000002</v>
      </c>
      <c r="F34" s="2">
        <v>1.98</v>
      </c>
      <c r="G34" s="2">
        <v>11</v>
      </c>
      <c r="H34" s="2">
        <v>4</v>
      </c>
      <c r="I34" s="2">
        <v>44</v>
      </c>
      <c r="J34" s="2">
        <v>38.49</v>
      </c>
      <c r="K34" s="2">
        <v>1978.88</v>
      </c>
      <c r="L34" s="2">
        <v>0</v>
      </c>
      <c r="M34" s="2">
        <v>395.78</v>
      </c>
      <c r="N34" s="2">
        <v>0</v>
      </c>
    </row>
    <row r="35" spans="1:14" x14ac:dyDescent="0.3">
      <c r="A35" s="4" t="s">
        <v>78</v>
      </c>
      <c r="B35" s="2" t="s">
        <v>79</v>
      </c>
      <c r="C35" s="2" t="s">
        <v>255</v>
      </c>
      <c r="D35" s="2" t="s">
        <v>80</v>
      </c>
      <c r="E35" s="2">
        <v>5.24</v>
      </c>
      <c r="F35" s="2">
        <v>4.75</v>
      </c>
      <c r="G35" s="2">
        <v>76</v>
      </c>
      <c r="H35" s="2">
        <v>1</v>
      </c>
      <c r="I35" s="2">
        <v>76</v>
      </c>
      <c r="J35" s="2">
        <v>66.489999999999995</v>
      </c>
      <c r="K35" s="2">
        <v>3427.14</v>
      </c>
      <c r="L35" s="2">
        <v>0</v>
      </c>
      <c r="M35" s="2">
        <v>685.43</v>
      </c>
      <c r="N35" s="2">
        <v>0</v>
      </c>
    </row>
    <row r="36" spans="1:14" x14ac:dyDescent="0.3">
      <c r="A36" s="4" t="s">
        <v>78</v>
      </c>
      <c r="B36" s="2" t="s">
        <v>81</v>
      </c>
      <c r="C36" s="2" t="s">
        <v>256</v>
      </c>
      <c r="D36" s="2" t="s">
        <v>82</v>
      </c>
      <c r="E36" s="2">
        <v>11.86</v>
      </c>
      <c r="F36" s="2">
        <v>10.75</v>
      </c>
      <c r="G36" s="2">
        <v>84</v>
      </c>
      <c r="H36" s="2">
        <v>2</v>
      </c>
      <c r="I36" s="2">
        <v>168</v>
      </c>
      <c r="J36" s="2">
        <v>146.97</v>
      </c>
      <c r="K36" s="2">
        <v>7577.49</v>
      </c>
      <c r="L36" s="2">
        <v>0</v>
      </c>
      <c r="M36" s="2">
        <v>1515.5</v>
      </c>
      <c r="N36" s="2">
        <v>0</v>
      </c>
    </row>
    <row r="37" spans="1:14" x14ac:dyDescent="0.3">
      <c r="A37" s="4" t="s">
        <v>78</v>
      </c>
      <c r="B37" s="2" t="s">
        <v>83</v>
      </c>
      <c r="C37" s="2" t="s">
        <v>257</v>
      </c>
      <c r="D37" s="2" t="s">
        <v>82</v>
      </c>
      <c r="E37" s="2">
        <v>12.331</v>
      </c>
      <c r="F37" s="2">
        <v>11.18</v>
      </c>
      <c r="G37" s="2">
        <v>78</v>
      </c>
      <c r="H37" s="2">
        <v>2</v>
      </c>
      <c r="I37" s="2">
        <v>156</v>
      </c>
      <c r="J37" s="2">
        <v>136.47</v>
      </c>
      <c r="K37" s="2">
        <v>7044.39</v>
      </c>
      <c r="L37" s="2">
        <v>0</v>
      </c>
      <c r="M37" s="2">
        <v>1408.88</v>
      </c>
      <c r="N37" s="2">
        <v>0</v>
      </c>
    </row>
    <row r="38" spans="1:14" x14ac:dyDescent="0.3">
      <c r="A38" s="4" t="s">
        <v>78</v>
      </c>
      <c r="B38" s="2" t="s">
        <v>84</v>
      </c>
      <c r="C38" s="2" t="s">
        <v>258</v>
      </c>
      <c r="D38" s="2" t="s">
        <v>82</v>
      </c>
      <c r="E38" s="2">
        <v>7.6120000000000001</v>
      </c>
      <c r="F38" s="2">
        <v>6.9</v>
      </c>
      <c r="G38" s="2">
        <v>72</v>
      </c>
      <c r="H38" s="2">
        <v>2</v>
      </c>
      <c r="I38" s="2">
        <v>144</v>
      </c>
      <c r="J38" s="2">
        <v>125.97</v>
      </c>
      <c r="K38" s="2">
        <v>6479.2</v>
      </c>
      <c r="L38" s="2">
        <v>0</v>
      </c>
      <c r="M38" s="2">
        <v>1295.8399999999999</v>
      </c>
      <c r="N38" s="2">
        <v>0</v>
      </c>
    </row>
    <row r="39" spans="1:14" x14ac:dyDescent="0.3">
      <c r="A39" s="6" t="s">
        <v>78</v>
      </c>
      <c r="B39" s="7" t="s">
        <v>85</v>
      </c>
      <c r="C39" s="2" t="s">
        <v>259</v>
      </c>
      <c r="D39" s="7" t="s">
        <v>86</v>
      </c>
      <c r="E39" s="7">
        <v>78.855000000000004</v>
      </c>
      <c r="F39" s="7">
        <v>71.474999999999994</v>
      </c>
      <c r="G39" s="7">
        <v>58</v>
      </c>
      <c r="H39" s="7">
        <v>15</v>
      </c>
      <c r="I39" s="7">
        <v>870</v>
      </c>
      <c r="J39" s="2">
        <v>761.09</v>
      </c>
      <c r="K39" s="8">
        <f>SUM(39348.38,-0.01)</f>
        <v>39348.369999999995</v>
      </c>
      <c r="L39" s="7">
        <v>0</v>
      </c>
      <c r="M39" s="7">
        <v>7869.68</v>
      </c>
      <c r="N39" s="2">
        <v>0</v>
      </c>
    </row>
    <row r="40" spans="1:14" x14ac:dyDescent="0.3">
      <c r="A40" s="4" t="s">
        <v>78</v>
      </c>
      <c r="B40" s="2" t="s">
        <v>87</v>
      </c>
      <c r="C40" s="2" t="s">
        <v>260</v>
      </c>
      <c r="D40" s="2" t="s">
        <v>82</v>
      </c>
      <c r="E40" s="2">
        <v>8.6489999999999991</v>
      </c>
      <c r="F40" s="2">
        <v>7.84</v>
      </c>
      <c r="G40" s="2">
        <v>72</v>
      </c>
      <c r="H40" s="2">
        <v>2</v>
      </c>
      <c r="I40" s="2">
        <v>144</v>
      </c>
      <c r="J40" s="2">
        <v>125.97</v>
      </c>
      <c r="K40" s="2">
        <v>6485.61</v>
      </c>
      <c r="L40" s="2">
        <v>0</v>
      </c>
      <c r="M40" s="2">
        <v>1297.1199999999999</v>
      </c>
      <c r="N40" s="2">
        <v>0</v>
      </c>
    </row>
    <row r="41" spans="1:14" x14ac:dyDescent="0.3">
      <c r="A41" s="4" t="s">
        <v>78</v>
      </c>
      <c r="B41" s="2" t="s">
        <v>88</v>
      </c>
      <c r="C41" s="2" t="s">
        <v>261</v>
      </c>
      <c r="D41" s="2" t="s">
        <v>82</v>
      </c>
      <c r="E41" s="2">
        <v>10.448</v>
      </c>
      <c r="F41" s="2">
        <v>9.4700000000000006</v>
      </c>
      <c r="G41" s="2">
        <v>74</v>
      </c>
      <c r="H41" s="2">
        <v>2</v>
      </c>
      <c r="I41" s="2">
        <v>148</v>
      </c>
      <c r="J41" s="2">
        <v>129.47</v>
      </c>
      <c r="K41" s="2">
        <v>6675.41</v>
      </c>
      <c r="L41" s="2">
        <v>0</v>
      </c>
      <c r="M41" s="2">
        <v>1335.08</v>
      </c>
      <c r="N41" s="2">
        <v>0</v>
      </c>
    </row>
    <row r="42" spans="1:14" x14ac:dyDescent="0.3">
      <c r="A42" s="4" t="s">
        <v>78</v>
      </c>
      <c r="B42" s="2" t="s">
        <v>89</v>
      </c>
      <c r="C42" s="2" t="s">
        <v>262</v>
      </c>
      <c r="D42" s="2" t="s">
        <v>90</v>
      </c>
      <c r="E42" s="2">
        <v>47.054000000000002</v>
      </c>
      <c r="F42" s="2">
        <v>42.65</v>
      </c>
      <c r="G42" s="2">
        <v>64</v>
      </c>
      <c r="H42" s="2">
        <v>10</v>
      </c>
      <c r="I42" s="2">
        <v>640</v>
      </c>
      <c r="J42" s="2">
        <v>559.88</v>
      </c>
      <c r="K42" s="2">
        <v>28878.2</v>
      </c>
      <c r="L42" s="2">
        <v>0</v>
      </c>
      <c r="M42" s="2">
        <v>5775.64</v>
      </c>
      <c r="N42" s="2">
        <v>0</v>
      </c>
    </row>
    <row r="43" spans="1:14" x14ac:dyDescent="0.3">
      <c r="A43" s="4" t="s">
        <v>78</v>
      </c>
      <c r="B43" s="2" t="s">
        <v>91</v>
      </c>
      <c r="C43" s="2" t="s">
        <v>263</v>
      </c>
      <c r="D43" s="2" t="s">
        <v>90</v>
      </c>
      <c r="E43" s="2">
        <v>59.024000000000001</v>
      </c>
      <c r="F43" s="2">
        <v>53.5</v>
      </c>
      <c r="G43" s="2">
        <v>72</v>
      </c>
      <c r="H43" s="2">
        <v>10</v>
      </c>
      <c r="I43" s="2">
        <v>720</v>
      </c>
      <c r="J43" s="2">
        <v>629.87</v>
      </c>
      <c r="K43" s="2">
        <v>32525.62</v>
      </c>
      <c r="L43" s="2">
        <v>0</v>
      </c>
      <c r="M43" s="2">
        <v>6505.12</v>
      </c>
      <c r="N43" s="2">
        <v>0</v>
      </c>
    </row>
    <row r="44" spans="1:14" x14ac:dyDescent="0.3">
      <c r="A44" s="4" t="s">
        <v>78</v>
      </c>
      <c r="B44" s="2" t="s">
        <v>92</v>
      </c>
      <c r="C44" s="2" t="s">
        <v>264</v>
      </c>
      <c r="D44" s="2" t="s">
        <v>93</v>
      </c>
      <c r="E44" s="2">
        <v>25.971</v>
      </c>
      <c r="F44" s="2">
        <v>23.54</v>
      </c>
      <c r="G44" s="2">
        <v>72</v>
      </c>
      <c r="H44" s="2">
        <v>4</v>
      </c>
      <c r="I44" s="2">
        <v>288</v>
      </c>
      <c r="J44" s="2">
        <v>251.95</v>
      </c>
      <c r="K44" s="2">
        <v>13024.85</v>
      </c>
      <c r="L44" s="2">
        <v>0</v>
      </c>
      <c r="M44" s="2">
        <v>2604.9699999999998</v>
      </c>
      <c r="N44" s="2">
        <v>0</v>
      </c>
    </row>
    <row r="45" spans="1:14" x14ac:dyDescent="0.3">
      <c r="A45" s="4" t="s">
        <v>78</v>
      </c>
      <c r="B45" s="2" t="s">
        <v>94</v>
      </c>
      <c r="C45" s="2" t="s">
        <v>265</v>
      </c>
      <c r="D45" s="2" t="s">
        <v>93</v>
      </c>
      <c r="E45" s="2">
        <v>19.350999999999999</v>
      </c>
      <c r="F45" s="2">
        <v>17.54</v>
      </c>
      <c r="G45" s="2">
        <v>62</v>
      </c>
      <c r="H45" s="2">
        <v>4</v>
      </c>
      <c r="I45" s="2">
        <v>248</v>
      </c>
      <c r="J45" s="2">
        <v>216.95</v>
      </c>
      <c r="K45" s="2">
        <v>11197.21</v>
      </c>
      <c r="L45" s="2">
        <v>0</v>
      </c>
      <c r="M45" s="2">
        <v>2239.44</v>
      </c>
      <c r="N45" s="2">
        <v>0</v>
      </c>
    </row>
    <row r="46" spans="1:14" x14ac:dyDescent="0.3">
      <c r="A46" s="4" t="s">
        <v>95</v>
      </c>
      <c r="B46" s="2" t="s">
        <v>96</v>
      </c>
      <c r="C46" s="2" t="s">
        <v>266</v>
      </c>
      <c r="D46" s="2" t="s">
        <v>97</v>
      </c>
      <c r="E46" s="2">
        <v>0.35299999999999998</v>
      </c>
      <c r="F46" s="2">
        <v>0.32</v>
      </c>
      <c r="G46" s="2">
        <v>39</v>
      </c>
      <c r="H46" s="2">
        <v>2</v>
      </c>
      <c r="I46" s="2">
        <v>78</v>
      </c>
      <c r="J46" s="2">
        <v>68.239999999999995</v>
      </c>
      <c r="K46" s="2">
        <v>3486.26</v>
      </c>
      <c r="L46" s="2">
        <v>0</v>
      </c>
      <c r="M46" s="2">
        <v>697.25</v>
      </c>
      <c r="N46" s="2">
        <v>0</v>
      </c>
    </row>
    <row r="47" spans="1:14" x14ac:dyDescent="0.3">
      <c r="A47" s="4" t="s">
        <v>95</v>
      </c>
      <c r="B47" s="2" t="s">
        <v>98</v>
      </c>
      <c r="C47" s="2" t="s">
        <v>267</v>
      </c>
      <c r="D47" s="2" t="s">
        <v>99</v>
      </c>
      <c r="E47" s="2">
        <v>6.73</v>
      </c>
      <c r="F47" s="2">
        <v>6.1</v>
      </c>
      <c r="G47" s="2">
        <v>19</v>
      </c>
      <c r="H47" s="2">
        <v>20</v>
      </c>
      <c r="I47" s="2">
        <v>380</v>
      </c>
      <c r="J47" s="2">
        <v>332.43</v>
      </c>
      <c r="K47" s="2">
        <v>17015.3</v>
      </c>
      <c r="L47" s="2">
        <v>0</v>
      </c>
      <c r="M47" s="2">
        <v>3403.06</v>
      </c>
      <c r="N47" s="2">
        <v>0</v>
      </c>
    </row>
    <row r="48" spans="1:14" x14ac:dyDescent="0.3">
      <c r="A48" s="4" t="s">
        <v>95</v>
      </c>
      <c r="B48" s="2" t="s">
        <v>100</v>
      </c>
      <c r="C48" s="2" t="s">
        <v>268</v>
      </c>
      <c r="D48" s="2" t="s">
        <v>101</v>
      </c>
      <c r="E48" s="2">
        <v>0.26500000000000001</v>
      </c>
      <c r="F48" s="2">
        <v>0.24</v>
      </c>
      <c r="G48" s="2">
        <v>9</v>
      </c>
      <c r="H48" s="2">
        <v>2</v>
      </c>
      <c r="I48" s="2">
        <v>18</v>
      </c>
      <c r="J48" s="2">
        <v>15.75</v>
      </c>
      <c r="K48" s="2">
        <v>805.66</v>
      </c>
      <c r="L48" s="2">
        <v>0</v>
      </c>
      <c r="M48" s="2">
        <v>161.13</v>
      </c>
      <c r="N48" s="2">
        <v>0</v>
      </c>
    </row>
    <row r="49" spans="1:14" x14ac:dyDescent="0.3">
      <c r="A49" s="4" t="s">
        <v>95</v>
      </c>
      <c r="B49" s="2" t="s">
        <v>102</v>
      </c>
      <c r="C49" s="2" t="s">
        <v>269</v>
      </c>
      <c r="D49" s="2" t="s">
        <v>103</v>
      </c>
      <c r="E49" s="2">
        <v>1.5449999999999999</v>
      </c>
      <c r="F49" s="2">
        <v>1.4</v>
      </c>
      <c r="G49" s="2">
        <v>12</v>
      </c>
      <c r="H49" s="2">
        <v>4</v>
      </c>
      <c r="I49" s="2">
        <v>48</v>
      </c>
      <c r="J49" s="2">
        <v>41.99</v>
      </c>
      <c r="K49" s="2">
        <v>2153.6</v>
      </c>
      <c r="L49" s="2">
        <v>0</v>
      </c>
      <c r="M49" s="2">
        <v>430.72</v>
      </c>
      <c r="N49" s="2">
        <v>0</v>
      </c>
    </row>
    <row r="50" spans="1:14" x14ac:dyDescent="0.3">
      <c r="A50" s="4" t="s">
        <v>95</v>
      </c>
      <c r="B50" s="2" t="s">
        <v>104</v>
      </c>
      <c r="C50" s="2" t="s">
        <v>270</v>
      </c>
      <c r="D50" s="2" t="s">
        <v>105</v>
      </c>
      <c r="E50" s="2">
        <v>0.432</v>
      </c>
      <c r="F50" s="2">
        <v>0.39200000000000002</v>
      </c>
      <c r="G50" s="2">
        <v>14.5</v>
      </c>
      <c r="H50" s="2">
        <v>4</v>
      </c>
      <c r="I50" s="2">
        <v>58</v>
      </c>
      <c r="J50" s="2">
        <v>50.74</v>
      </c>
      <c r="K50" s="2">
        <v>2593.39</v>
      </c>
      <c r="L50" s="2">
        <v>0</v>
      </c>
      <c r="M50" s="2">
        <v>518.67999999999995</v>
      </c>
      <c r="N50" s="2">
        <v>0</v>
      </c>
    </row>
    <row r="51" spans="1:14" x14ac:dyDescent="0.3">
      <c r="A51" s="4" t="s">
        <v>95</v>
      </c>
      <c r="B51" s="2" t="s">
        <v>106</v>
      </c>
      <c r="C51" s="2" t="s">
        <v>271</v>
      </c>
      <c r="D51" s="2" t="s">
        <v>105</v>
      </c>
      <c r="E51" s="2">
        <v>0.83799999999999997</v>
      </c>
      <c r="F51" s="2">
        <v>0.76</v>
      </c>
      <c r="G51" s="2">
        <v>11.5</v>
      </c>
      <c r="H51" s="2">
        <v>4</v>
      </c>
      <c r="I51" s="2">
        <v>46</v>
      </c>
      <c r="J51" s="2">
        <v>40.24</v>
      </c>
      <c r="K51" s="2">
        <v>2059.89</v>
      </c>
      <c r="L51" s="2">
        <v>0</v>
      </c>
      <c r="M51" s="2">
        <v>411.98</v>
      </c>
      <c r="N51" s="2">
        <v>0</v>
      </c>
    </row>
    <row r="52" spans="1:14" x14ac:dyDescent="0.3">
      <c r="A52" s="4" t="s">
        <v>95</v>
      </c>
      <c r="B52" s="2" t="s">
        <v>107</v>
      </c>
      <c r="C52" s="2" t="s">
        <v>272</v>
      </c>
      <c r="D52" s="2" t="s">
        <v>108</v>
      </c>
      <c r="E52" s="2">
        <v>0.254</v>
      </c>
      <c r="F52" s="2">
        <v>0.23</v>
      </c>
      <c r="G52" s="2">
        <v>13.75</v>
      </c>
      <c r="H52" s="2">
        <v>2</v>
      </c>
      <c r="I52" s="2">
        <v>27.5</v>
      </c>
      <c r="J52" s="2">
        <v>24.06</v>
      </c>
      <c r="K52" s="2">
        <v>1229.93</v>
      </c>
      <c r="L52" s="2">
        <v>0</v>
      </c>
      <c r="M52" s="2">
        <v>245.99</v>
      </c>
      <c r="N52" s="2">
        <v>0</v>
      </c>
    </row>
    <row r="53" spans="1:14" x14ac:dyDescent="0.3">
      <c r="A53" s="6" t="s">
        <v>95</v>
      </c>
      <c r="B53" s="7" t="s">
        <v>109</v>
      </c>
      <c r="C53" s="2" t="s">
        <v>273</v>
      </c>
      <c r="D53" s="7" t="s">
        <v>110</v>
      </c>
      <c r="E53" s="7">
        <v>0.221</v>
      </c>
      <c r="F53" s="7">
        <v>0.2</v>
      </c>
      <c r="G53" s="7">
        <v>12.5</v>
      </c>
      <c r="H53" s="7">
        <v>2</v>
      </c>
      <c r="I53" s="7">
        <v>25</v>
      </c>
      <c r="J53" s="2">
        <v>21.87</v>
      </c>
      <c r="K53" s="7">
        <v>1118.06</v>
      </c>
      <c r="L53" s="7">
        <v>0</v>
      </c>
      <c r="M53" s="7">
        <v>223.61</v>
      </c>
      <c r="N53" s="2">
        <v>0</v>
      </c>
    </row>
    <row r="54" spans="1:14" x14ac:dyDescent="0.3">
      <c r="A54" s="4" t="s">
        <v>95</v>
      </c>
      <c r="B54" s="2" t="s">
        <v>111</v>
      </c>
      <c r="C54" s="2" t="s">
        <v>274</v>
      </c>
      <c r="D54" s="2" t="s">
        <v>112</v>
      </c>
      <c r="E54" s="2">
        <v>2.5369999999999999</v>
      </c>
      <c r="F54" s="2">
        <v>2.2999999999999998</v>
      </c>
      <c r="G54" s="2">
        <v>16.5</v>
      </c>
      <c r="H54" s="2">
        <v>10</v>
      </c>
      <c r="I54" s="2">
        <v>165</v>
      </c>
      <c r="J54" s="2">
        <v>144.34</v>
      </c>
      <c r="K54" s="2">
        <v>7385.84</v>
      </c>
      <c r="L54" s="2">
        <v>0</v>
      </c>
      <c r="M54" s="2">
        <v>1477.17</v>
      </c>
      <c r="N54" s="2">
        <v>0</v>
      </c>
    </row>
    <row r="55" spans="1:14" x14ac:dyDescent="0.3">
      <c r="A55" s="4" t="s">
        <v>95</v>
      </c>
      <c r="B55" s="2" t="s">
        <v>113</v>
      </c>
      <c r="C55" s="2" t="s">
        <v>275</v>
      </c>
      <c r="D55" s="2" t="s">
        <v>114</v>
      </c>
      <c r="E55" s="2">
        <v>4.9649999999999999</v>
      </c>
      <c r="F55" s="2">
        <v>4.5</v>
      </c>
      <c r="G55" s="2">
        <v>17</v>
      </c>
      <c r="H55" s="2">
        <v>25</v>
      </c>
      <c r="I55" s="2">
        <v>425</v>
      </c>
      <c r="J55" s="2">
        <v>371.8</v>
      </c>
      <c r="K55" s="5">
        <f>SUM(19014.43,-0.02)</f>
        <v>19014.41</v>
      </c>
      <c r="L55" s="2">
        <v>0</v>
      </c>
      <c r="M55" s="5">
        <f>SUM(3802.89,-0.01)</f>
        <v>3802.8799999999997</v>
      </c>
      <c r="N55" s="2">
        <v>0</v>
      </c>
    </row>
    <row r="56" spans="1:14" x14ac:dyDescent="0.3">
      <c r="A56" s="6" t="s">
        <v>95</v>
      </c>
      <c r="B56" s="7" t="s">
        <v>115</v>
      </c>
      <c r="C56" s="2" t="s">
        <v>276</v>
      </c>
      <c r="D56" s="7" t="s">
        <v>116</v>
      </c>
      <c r="E56" s="7">
        <v>4.9649999999999999</v>
      </c>
      <c r="F56" s="7">
        <v>4.5</v>
      </c>
      <c r="G56" s="7">
        <v>34.5</v>
      </c>
      <c r="H56" s="7">
        <v>10</v>
      </c>
      <c r="I56" s="7">
        <v>345</v>
      </c>
      <c r="J56" s="2">
        <v>301.81</v>
      </c>
      <c r="K56" s="7">
        <v>15441.02</v>
      </c>
      <c r="L56" s="7">
        <v>0</v>
      </c>
      <c r="M56" s="7">
        <v>3088.2</v>
      </c>
      <c r="N56" s="2">
        <v>0</v>
      </c>
    </row>
    <row r="57" spans="1:14" x14ac:dyDescent="0.3">
      <c r="A57" s="4" t="s">
        <v>95</v>
      </c>
      <c r="B57" s="2" t="s">
        <v>117</v>
      </c>
      <c r="C57" s="2" t="s">
        <v>277</v>
      </c>
      <c r="D57" s="2" t="s">
        <v>118</v>
      </c>
      <c r="E57" s="2">
        <v>1.2250000000000001</v>
      </c>
      <c r="F57" s="2">
        <v>1.1100000000000001</v>
      </c>
      <c r="G57" s="2">
        <v>27.5</v>
      </c>
      <c r="H57" s="2">
        <v>6</v>
      </c>
      <c r="I57" s="2">
        <v>165</v>
      </c>
      <c r="J57" s="2">
        <v>144.34</v>
      </c>
      <c r="K57" s="2">
        <v>7377.73</v>
      </c>
      <c r="L57" s="2">
        <v>0</v>
      </c>
      <c r="M57" s="2">
        <v>1475.55</v>
      </c>
      <c r="N57" s="2">
        <v>0</v>
      </c>
    </row>
    <row r="58" spans="1:14" x14ac:dyDescent="0.3">
      <c r="A58" s="4" t="s">
        <v>95</v>
      </c>
      <c r="B58" s="2" t="s">
        <v>196</v>
      </c>
      <c r="C58" s="2" t="s">
        <v>278</v>
      </c>
      <c r="D58" s="2" t="s">
        <v>119</v>
      </c>
      <c r="E58" s="2">
        <v>6.62</v>
      </c>
      <c r="F58" s="2">
        <v>6</v>
      </c>
      <c r="G58" s="2">
        <v>16</v>
      </c>
      <c r="H58" s="2">
        <v>4</v>
      </c>
      <c r="I58" s="2">
        <v>64</v>
      </c>
      <c r="J58" s="2">
        <v>55.99</v>
      </c>
      <c r="K58" s="2">
        <v>2899.66</v>
      </c>
      <c r="L58" s="2">
        <v>0</v>
      </c>
      <c r="M58" s="2">
        <v>579.92999999999995</v>
      </c>
      <c r="N58" s="2">
        <v>0</v>
      </c>
    </row>
    <row r="59" spans="1:14" x14ac:dyDescent="0.3">
      <c r="A59" s="4" t="s">
        <v>120</v>
      </c>
      <c r="B59" s="2" t="s">
        <v>121</v>
      </c>
      <c r="C59" s="2" t="s">
        <v>279</v>
      </c>
      <c r="D59" s="2" t="s">
        <v>122</v>
      </c>
      <c r="E59" s="2">
        <v>2.6920000000000002</v>
      </c>
      <c r="F59" s="2">
        <v>2.44</v>
      </c>
      <c r="G59" s="2">
        <v>86</v>
      </c>
      <c r="H59" s="2">
        <v>1</v>
      </c>
      <c r="I59" s="2">
        <v>86</v>
      </c>
      <c r="J59" s="2">
        <v>75.23</v>
      </c>
      <c r="K59" s="2">
        <v>3858.06</v>
      </c>
      <c r="L59" s="2">
        <v>192.9</v>
      </c>
      <c r="M59" s="2">
        <v>810.19</v>
      </c>
      <c r="N59" s="2">
        <v>5</v>
      </c>
    </row>
    <row r="60" spans="1:14" x14ac:dyDescent="0.3">
      <c r="A60" s="4" t="s">
        <v>120</v>
      </c>
      <c r="B60" s="2" t="s">
        <v>123</v>
      </c>
      <c r="C60" s="2" t="s">
        <v>280</v>
      </c>
      <c r="D60" s="2" t="s">
        <v>124</v>
      </c>
      <c r="E60" s="2">
        <v>10.635</v>
      </c>
      <c r="F60" s="2">
        <v>9.64</v>
      </c>
      <c r="G60" s="2">
        <v>75</v>
      </c>
      <c r="H60" s="2">
        <v>4</v>
      </c>
      <c r="I60" s="2">
        <v>300</v>
      </c>
      <c r="J60" s="2">
        <v>262.44</v>
      </c>
      <c r="K60" s="2">
        <v>13466.04</v>
      </c>
      <c r="L60" s="5">
        <f>SUM(673.3,0.01)</f>
        <v>673.31</v>
      </c>
      <c r="M60" s="2">
        <v>2827.87</v>
      </c>
      <c r="N60" s="2">
        <v>5</v>
      </c>
    </row>
    <row r="61" spans="1:14" x14ac:dyDescent="0.3">
      <c r="A61" s="4" t="s">
        <v>125</v>
      </c>
      <c r="B61" s="2" t="s">
        <v>126</v>
      </c>
      <c r="C61" s="2" t="s">
        <v>281</v>
      </c>
      <c r="D61" s="2" t="s">
        <v>127</v>
      </c>
      <c r="E61" s="2">
        <v>1.6879999999999999</v>
      </c>
      <c r="F61" s="2">
        <v>1.53</v>
      </c>
      <c r="G61" s="2">
        <v>26</v>
      </c>
      <c r="H61" s="2">
        <v>2</v>
      </c>
      <c r="I61" s="2">
        <v>52</v>
      </c>
      <c r="J61" s="2">
        <v>45.49</v>
      </c>
      <c r="K61" s="2">
        <v>2333.15</v>
      </c>
      <c r="L61" s="2">
        <v>233.32</v>
      </c>
      <c r="M61" s="2">
        <v>513.29</v>
      </c>
      <c r="N61" s="2">
        <v>10</v>
      </c>
    </row>
    <row r="62" spans="1:14" x14ac:dyDescent="0.3">
      <c r="A62" s="4" t="s">
        <v>125</v>
      </c>
      <c r="B62" s="2" t="s">
        <v>128</v>
      </c>
      <c r="C62" s="2" t="s">
        <v>282</v>
      </c>
      <c r="D62" s="2" t="s">
        <v>129</v>
      </c>
      <c r="E62" s="2">
        <v>1.103</v>
      </c>
      <c r="F62" s="2">
        <v>1</v>
      </c>
      <c r="G62" s="2">
        <v>84</v>
      </c>
      <c r="H62" s="2">
        <v>1</v>
      </c>
      <c r="I62" s="2">
        <v>84</v>
      </c>
      <c r="J62" s="2">
        <v>73.48</v>
      </c>
      <c r="K62" s="2">
        <v>3758.9</v>
      </c>
      <c r="L62" s="2">
        <v>375.89</v>
      </c>
      <c r="M62" s="2">
        <v>826.96</v>
      </c>
      <c r="N62" s="2">
        <v>10</v>
      </c>
    </row>
    <row r="63" spans="1:14" x14ac:dyDescent="0.3">
      <c r="A63" s="4" t="s">
        <v>125</v>
      </c>
      <c r="B63" s="2" t="s">
        <v>130</v>
      </c>
      <c r="C63" s="2" t="s">
        <v>283</v>
      </c>
      <c r="D63" s="2" t="s">
        <v>131</v>
      </c>
      <c r="E63" s="2">
        <v>3.31</v>
      </c>
      <c r="F63" s="2">
        <v>3</v>
      </c>
      <c r="G63" s="2">
        <v>36</v>
      </c>
      <c r="H63" s="2">
        <v>6</v>
      </c>
      <c r="I63" s="2">
        <v>216</v>
      </c>
      <c r="J63" s="2">
        <v>188.96</v>
      </c>
      <c r="K63" s="2">
        <v>9668.67</v>
      </c>
      <c r="L63" s="2">
        <v>966.87</v>
      </c>
      <c r="M63" s="2">
        <v>2127.11</v>
      </c>
      <c r="N63" s="2">
        <v>10</v>
      </c>
    </row>
    <row r="64" spans="1:14" x14ac:dyDescent="0.3">
      <c r="A64" s="4" t="s">
        <v>125</v>
      </c>
      <c r="B64" s="2" t="s">
        <v>132</v>
      </c>
      <c r="C64" s="2" t="s">
        <v>284</v>
      </c>
      <c r="D64" s="2" t="s">
        <v>133</v>
      </c>
      <c r="E64" s="2">
        <v>0.82699999999999996</v>
      </c>
      <c r="F64" s="2">
        <v>0.75</v>
      </c>
      <c r="G64" s="2">
        <v>39</v>
      </c>
      <c r="H64" s="2">
        <v>1</v>
      </c>
      <c r="I64" s="2">
        <v>39</v>
      </c>
      <c r="J64" s="2">
        <v>34.119999999999997</v>
      </c>
      <c r="K64" s="2">
        <v>1747.15</v>
      </c>
      <c r="L64" s="2">
        <v>174.72</v>
      </c>
      <c r="M64" s="2">
        <v>384.37</v>
      </c>
      <c r="N64" s="2">
        <v>10</v>
      </c>
    </row>
    <row r="65" spans="1:14" x14ac:dyDescent="0.3">
      <c r="A65" s="4" t="s">
        <v>125</v>
      </c>
      <c r="B65" s="2" t="s">
        <v>134</v>
      </c>
      <c r="C65" s="2" t="s">
        <v>285</v>
      </c>
      <c r="D65" s="2" t="s">
        <v>133</v>
      </c>
      <c r="E65" s="2">
        <v>1.081</v>
      </c>
      <c r="F65" s="2">
        <v>0.98</v>
      </c>
      <c r="G65" s="2">
        <v>36</v>
      </c>
      <c r="H65" s="2">
        <v>1</v>
      </c>
      <c r="I65" s="2">
        <v>36</v>
      </c>
      <c r="J65" s="2">
        <v>31.49</v>
      </c>
      <c r="K65" s="2">
        <v>1614.72</v>
      </c>
      <c r="L65" s="2">
        <v>161.47</v>
      </c>
      <c r="M65" s="2">
        <v>355.24</v>
      </c>
      <c r="N65" s="2">
        <v>10</v>
      </c>
    </row>
    <row r="66" spans="1:14" x14ac:dyDescent="0.3">
      <c r="A66" s="4" t="s">
        <v>125</v>
      </c>
      <c r="B66" s="2" t="s">
        <v>197</v>
      </c>
      <c r="C66" s="2" t="s">
        <v>286</v>
      </c>
      <c r="D66" s="2" t="s">
        <v>135</v>
      </c>
      <c r="E66" s="2">
        <v>4.17</v>
      </c>
      <c r="F66" s="2">
        <v>3.78</v>
      </c>
      <c r="G66" s="2">
        <v>48</v>
      </c>
      <c r="H66" s="2">
        <v>2</v>
      </c>
      <c r="I66" s="2">
        <v>96</v>
      </c>
      <c r="J66" s="2">
        <v>83.98</v>
      </c>
      <c r="K66" s="2">
        <v>4313.87</v>
      </c>
      <c r="L66" s="2">
        <v>431.39</v>
      </c>
      <c r="M66" s="2">
        <v>949.05</v>
      </c>
      <c r="N66" s="2">
        <v>10</v>
      </c>
    </row>
    <row r="67" spans="1:14" x14ac:dyDescent="0.3">
      <c r="A67" s="4" t="s">
        <v>125</v>
      </c>
      <c r="B67" s="2" t="s">
        <v>198</v>
      </c>
      <c r="C67" s="2" t="s">
        <v>287</v>
      </c>
      <c r="D67" s="2" t="s">
        <v>136</v>
      </c>
      <c r="E67" s="2">
        <v>0.89400000000000002</v>
      </c>
      <c r="F67" s="2">
        <v>0.81</v>
      </c>
      <c r="G67" s="2">
        <v>11</v>
      </c>
      <c r="H67" s="2">
        <v>2</v>
      </c>
      <c r="I67" s="2">
        <v>22</v>
      </c>
      <c r="J67" s="2">
        <v>19.25</v>
      </c>
      <c r="K67" s="2">
        <v>988.21</v>
      </c>
      <c r="L67" s="2">
        <v>98.82</v>
      </c>
      <c r="M67" s="2">
        <v>217.41</v>
      </c>
      <c r="N67" s="2">
        <v>10</v>
      </c>
    </row>
    <row r="68" spans="1:14" x14ac:dyDescent="0.3">
      <c r="A68" s="4" t="s">
        <v>125</v>
      </c>
      <c r="B68" s="2" t="s">
        <v>199</v>
      </c>
      <c r="C68" s="2" t="s">
        <v>288</v>
      </c>
      <c r="D68" s="2" t="s">
        <v>137</v>
      </c>
      <c r="E68" s="2">
        <v>1.4670000000000001</v>
      </c>
      <c r="F68" s="2">
        <v>1.33</v>
      </c>
      <c r="G68" s="2">
        <v>120</v>
      </c>
      <c r="H68" s="2">
        <v>1</v>
      </c>
      <c r="I68" s="2">
        <v>120</v>
      </c>
      <c r="J68" s="2">
        <v>104.98</v>
      </c>
      <c r="K68" s="2">
        <v>5369.18</v>
      </c>
      <c r="L68" s="2">
        <v>536.91999999999996</v>
      </c>
      <c r="M68" s="2">
        <v>1181.22</v>
      </c>
      <c r="N68" s="2">
        <v>10</v>
      </c>
    </row>
    <row r="69" spans="1:14" x14ac:dyDescent="0.3">
      <c r="A69" s="4" t="s">
        <v>125</v>
      </c>
      <c r="B69" s="2" t="s">
        <v>138</v>
      </c>
      <c r="C69" s="2" t="s">
        <v>289</v>
      </c>
      <c r="D69" s="2" t="s">
        <v>127</v>
      </c>
      <c r="E69" s="2">
        <v>2.5819999999999999</v>
      </c>
      <c r="F69" s="2">
        <v>2.34</v>
      </c>
      <c r="G69" s="2">
        <v>28.5</v>
      </c>
      <c r="H69" s="2">
        <v>2</v>
      </c>
      <c r="I69" s="2">
        <v>57</v>
      </c>
      <c r="J69" s="2">
        <v>49.86</v>
      </c>
      <c r="K69" s="2">
        <v>2562.02</v>
      </c>
      <c r="L69" s="2">
        <v>256.2</v>
      </c>
      <c r="M69" s="2">
        <v>563.64</v>
      </c>
      <c r="N69" s="2">
        <v>10</v>
      </c>
    </row>
    <row r="70" spans="1:14" x14ac:dyDescent="0.3">
      <c r="A70" s="4" t="s">
        <v>125</v>
      </c>
      <c r="B70" s="2" t="s">
        <v>200</v>
      </c>
      <c r="C70" s="2" t="s">
        <v>290</v>
      </c>
      <c r="D70" s="2" t="s">
        <v>139</v>
      </c>
      <c r="E70" s="2">
        <v>4.7880000000000003</v>
      </c>
      <c r="F70" s="2">
        <v>4.34</v>
      </c>
      <c r="G70" s="2">
        <v>79</v>
      </c>
      <c r="H70" s="2">
        <v>2</v>
      </c>
      <c r="I70" s="2">
        <v>158</v>
      </c>
      <c r="J70" s="2">
        <v>138.22</v>
      </c>
      <c r="K70" s="2">
        <v>7087.09</v>
      </c>
      <c r="L70" s="2">
        <v>708.71</v>
      </c>
      <c r="M70" s="2">
        <v>1559.16</v>
      </c>
      <c r="N70" s="2">
        <v>10</v>
      </c>
    </row>
    <row r="71" spans="1:14" x14ac:dyDescent="0.3">
      <c r="A71" s="4" t="s">
        <v>125</v>
      </c>
      <c r="B71" s="2" t="s">
        <v>201</v>
      </c>
      <c r="C71" s="2" t="s">
        <v>291</v>
      </c>
      <c r="D71" s="2" t="s">
        <v>140</v>
      </c>
      <c r="E71" s="2">
        <v>8.6880000000000006</v>
      </c>
      <c r="F71" s="2">
        <v>7.875</v>
      </c>
      <c r="G71" s="2">
        <v>6</v>
      </c>
      <c r="H71" s="2">
        <v>25</v>
      </c>
      <c r="I71" s="2">
        <v>150</v>
      </c>
      <c r="J71" s="2">
        <v>131.22</v>
      </c>
      <c r="K71" s="2">
        <v>6753.86</v>
      </c>
      <c r="L71" s="2">
        <v>675.39</v>
      </c>
      <c r="M71" s="2">
        <v>1485.85</v>
      </c>
      <c r="N71" s="2">
        <v>10</v>
      </c>
    </row>
    <row r="72" spans="1:14" x14ac:dyDescent="0.3">
      <c r="A72" s="4" t="s">
        <v>125</v>
      </c>
      <c r="B72" s="2" t="s">
        <v>202</v>
      </c>
      <c r="C72" s="2" t="s">
        <v>292</v>
      </c>
      <c r="D72" s="2" t="s">
        <v>141</v>
      </c>
      <c r="E72" s="2">
        <v>1.1579999999999999</v>
      </c>
      <c r="F72" s="2">
        <v>1.05</v>
      </c>
      <c r="G72" s="2">
        <v>6.5</v>
      </c>
      <c r="H72" s="2">
        <v>10</v>
      </c>
      <c r="I72" s="2">
        <v>65</v>
      </c>
      <c r="J72" s="2">
        <v>56.86</v>
      </c>
      <c r="K72" s="2">
        <v>2910.55</v>
      </c>
      <c r="L72" s="2">
        <v>291.06</v>
      </c>
      <c r="M72" s="2">
        <v>640.32000000000005</v>
      </c>
      <c r="N72" s="2">
        <v>10</v>
      </c>
    </row>
    <row r="73" spans="1:14" x14ac:dyDescent="0.3">
      <c r="A73" s="4" t="s">
        <v>125</v>
      </c>
      <c r="B73" s="2" t="s">
        <v>203</v>
      </c>
      <c r="C73" s="2" t="s">
        <v>293</v>
      </c>
      <c r="D73" s="2" t="s">
        <v>142</v>
      </c>
      <c r="E73" s="2">
        <v>4.2590000000000003</v>
      </c>
      <c r="F73" s="2">
        <v>3.86</v>
      </c>
      <c r="G73" s="2">
        <v>13.5</v>
      </c>
      <c r="H73" s="2">
        <v>4</v>
      </c>
      <c r="I73" s="2">
        <v>54</v>
      </c>
      <c r="J73" s="2">
        <v>47.24</v>
      </c>
      <c r="K73" s="2">
        <v>2438.38</v>
      </c>
      <c r="L73" s="2">
        <v>243.84</v>
      </c>
      <c r="M73" s="2">
        <v>536.44000000000005</v>
      </c>
      <c r="N73" s="2">
        <v>10</v>
      </c>
    </row>
    <row r="74" spans="1:14" x14ac:dyDescent="0.3">
      <c r="A74" s="4" t="s">
        <v>125</v>
      </c>
      <c r="B74" s="2" t="s">
        <v>204</v>
      </c>
      <c r="C74" s="2" t="s">
        <v>294</v>
      </c>
      <c r="D74" s="2" t="s">
        <v>143</v>
      </c>
      <c r="E74" s="2">
        <v>0.88300000000000001</v>
      </c>
      <c r="F74" s="2">
        <v>0.8</v>
      </c>
      <c r="G74" s="2">
        <v>9</v>
      </c>
      <c r="H74" s="2">
        <v>4</v>
      </c>
      <c r="I74" s="2">
        <v>36</v>
      </c>
      <c r="J74" s="2">
        <v>31.49</v>
      </c>
      <c r="K74" s="2">
        <v>1613.49</v>
      </c>
      <c r="L74" s="2">
        <v>161.35</v>
      </c>
      <c r="M74" s="2">
        <v>354.97</v>
      </c>
      <c r="N74" s="2">
        <v>10</v>
      </c>
    </row>
    <row r="75" spans="1:14" x14ac:dyDescent="0.3">
      <c r="A75" s="4" t="s">
        <v>125</v>
      </c>
      <c r="B75" s="2" t="s">
        <v>205</v>
      </c>
      <c r="C75" s="2" t="s">
        <v>295</v>
      </c>
      <c r="D75" s="2" t="s">
        <v>144</v>
      </c>
      <c r="E75" s="2">
        <v>0.64</v>
      </c>
      <c r="F75" s="2">
        <v>0.57999999999999996</v>
      </c>
      <c r="G75" s="2">
        <v>13</v>
      </c>
      <c r="H75" s="2">
        <v>4</v>
      </c>
      <c r="I75" s="2">
        <v>52</v>
      </c>
      <c r="J75" s="2">
        <v>45.49</v>
      </c>
      <c r="K75" s="2">
        <v>2326.67</v>
      </c>
      <c r="L75" s="2">
        <v>232.67</v>
      </c>
      <c r="M75" s="2">
        <v>511.87</v>
      </c>
      <c r="N75" s="2">
        <v>10</v>
      </c>
    </row>
    <row r="76" spans="1:14" x14ac:dyDescent="0.3">
      <c r="A76" s="4" t="s">
        <v>125</v>
      </c>
      <c r="B76" s="2" t="s">
        <v>206</v>
      </c>
      <c r="C76" s="2" t="s">
        <v>296</v>
      </c>
      <c r="D76" s="2" t="s">
        <v>145</v>
      </c>
      <c r="E76" s="2">
        <v>9.0690000000000008</v>
      </c>
      <c r="F76" s="2">
        <v>8.2200000000000006</v>
      </c>
      <c r="G76" s="2">
        <v>42</v>
      </c>
      <c r="H76" s="2">
        <v>4</v>
      </c>
      <c r="I76" s="2">
        <v>168</v>
      </c>
      <c r="J76" s="2">
        <v>146.97</v>
      </c>
      <c r="K76" s="2">
        <v>7560.23</v>
      </c>
      <c r="L76" s="2">
        <v>756.02</v>
      </c>
      <c r="M76" s="2">
        <v>1663.25</v>
      </c>
      <c r="N76" s="2">
        <v>10</v>
      </c>
    </row>
    <row r="77" spans="1:14" x14ac:dyDescent="0.3">
      <c r="A77" s="4" t="s">
        <v>125</v>
      </c>
      <c r="B77" s="2" t="s">
        <v>207</v>
      </c>
      <c r="C77" s="2" t="s">
        <v>297</v>
      </c>
      <c r="D77" s="2" t="s">
        <v>135</v>
      </c>
      <c r="E77" s="2">
        <v>4.17</v>
      </c>
      <c r="F77" s="2">
        <v>3.78</v>
      </c>
      <c r="G77" s="2">
        <v>54</v>
      </c>
      <c r="H77" s="2">
        <v>2</v>
      </c>
      <c r="I77" s="2">
        <v>108</v>
      </c>
      <c r="J77" s="2">
        <v>94.48</v>
      </c>
      <c r="K77" s="2">
        <v>4849.88</v>
      </c>
      <c r="L77" s="2">
        <v>484.99</v>
      </c>
      <c r="M77" s="2">
        <v>1066.97</v>
      </c>
      <c r="N77" s="2">
        <v>10</v>
      </c>
    </row>
    <row r="78" spans="1:14" x14ac:dyDescent="0.3">
      <c r="A78" s="4" t="s">
        <v>125</v>
      </c>
      <c r="B78" s="2" t="s">
        <v>208</v>
      </c>
      <c r="C78" s="2" t="s">
        <v>298</v>
      </c>
      <c r="D78" s="2" t="s">
        <v>146</v>
      </c>
      <c r="E78" s="2">
        <v>2.1840000000000002</v>
      </c>
      <c r="F78" s="2">
        <v>1.98</v>
      </c>
      <c r="G78" s="2">
        <v>28</v>
      </c>
      <c r="H78" s="2">
        <v>2</v>
      </c>
      <c r="I78" s="2">
        <v>56</v>
      </c>
      <c r="J78" s="2">
        <v>48.99</v>
      </c>
      <c r="K78" s="2">
        <v>2514.89</v>
      </c>
      <c r="L78" s="2">
        <v>251.49</v>
      </c>
      <c r="M78" s="2">
        <v>553.28</v>
      </c>
      <c r="N78" s="2">
        <v>10</v>
      </c>
    </row>
    <row r="79" spans="1:14" x14ac:dyDescent="0.3">
      <c r="A79" s="4" t="s">
        <v>125</v>
      </c>
      <c r="B79" s="2" t="s">
        <v>209</v>
      </c>
      <c r="C79" s="2" t="s">
        <v>299</v>
      </c>
      <c r="D79" s="2" t="s">
        <v>147</v>
      </c>
      <c r="E79" s="2">
        <v>0.23200000000000001</v>
      </c>
      <c r="F79" s="2">
        <v>0.21</v>
      </c>
      <c r="G79" s="2">
        <v>7</v>
      </c>
      <c r="H79" s="2">
        <v>2</v>
      </c>
      <c r="I79" s="2">
        <v>14</v>
      </c>
      <c r="J79" s="2">
        <v>12.25</v>
      </c>
      <c r="K79" s="2">
        <v>626.78</v>
      </c>
      <c r="L79" s="2">
        <v>62.68</v>
      </c>
      <c r="M79" s="2">
        <v>137.88999999999999</v>
      </c>
      <c r="N79" s="2">
        <v>10</v>
      </c>
    </row>
    <row r="80" spans="1:14" x14ac:dyDescent="0.3">
      <c r="A80" s="4" t="s">
        <v>125</v>
      </c>
      <c r="B80" s="2" t="s">
        <v>210</v>
      </c>
      <c r="C80" s="2" t="s">
        <v>300</v>
      </c>
      <c r="D80" s="2" t="s">
        <v>148</v>
      </c>
      <c r="E80" s="2">
        <v>3.552</v>
      </c>
      <c r="F80" s="2">
        <v>3.22</v>
      </c>
      <c r="G80" s="2">
        <v>19</v>
      </c>
      <c r="H80" s="2">
        <v>4</v>
      </c>
      <c r="I80" s="2">
        <v>76</v>
      </c>
      <c r="J80" s="2">
        <v>66.489999999999995</v>
      </c>
      <c r="K80" s="2">
        <v>3416.7</v>
      </c>
      <c r="L80" s="2">
        <v>341.67</v>
      </c>
      <c r="M80" s="2">
        <v>751.67</v>
      </c>
      <c r="N80" s="2">
        <v>10</v>
      </c>
    </row>
    <row r="81" spans="1:14" x14ac:dyDescent="0.3">
      <c r="A81" s="4" t="s">
        <v>125</v>
      </c>
      <c r="B81" s="2" t="s">
        <v>211</v>
      </c>
      <c r="C81" s="2" t="s">
        <v>301</v>
      </c>
      <c r="D81" s="2" t="s">
        <v>149</v>
      </c>
      <c r="E81" s="2">
        <v>3.3759999999999999</v>
      </c>
      <c r="F81" s="2">
        <v>3.06</v>
      </c>
      <c r="G81" s="2">
        <v>56</v>
      </c>
      <c r="H81" s="2">
        <v>2</v>
      </c>
      <c r="I81" s="2">
        <v>112</v>
      </c>
      <c r="J81" s="2">
        <v>97.98</v>
      </c>
      <c r="K81" s="2">
        <v>5023.6499999999996</v>
      </c>
      <c r="L81" s="2">
        <v>502.37</v>
      </c>
      <c r="M81" s="2">
        <v>1105.2</v>
      </c>
      <c r="N81" s="2">
        <v>10</v>
      </c>
    </row>
    <row r="82" spans="1:14" x14ac:dyDescent="0.3">
      <c r="A82" s="4" t="s">
        <v>125</v>
      </c>
      <c r="B82" s="2" t="s">
        <v>212</v>
      </c>
      <c r="C82" s="2" t="s">
        <v>302</v>
      </c>
      <c r="D82" s="2" t="s">
        <v>150</v>
      </c>
      <c r="E82" s="2">
        <v>0.26500000000000001</v>
      </c>
      <c r="F82" s="2">
        <v>0.24</v>
      </c>
      <c r="G82" s="2">
        <v>23.5</v>
      </c>
      <c r="H82" s="2">
        <v>1</v>
      </c>
      <c r="I82" s="2">
        <v>23.5</v>
      </c>
      <c r="J82" s="2">
        <v>20.56</v>
      </c>
      <c r="K82" s="2">
        <v>1051.33</v>
      </c>
      <c r="L82" s="2">
        <v>105.13</v>
      </c>
      <c r="M82" s="2">
        <v>231.29</v>
      </c>
      <c r="N82" s="2">
        <v>10</v>
      </c>
    </row>
    <row r="83" spans="1:14" x14ac:dyDescent="0.3">
      <c r="A83" s="4" t="s">
        <v>125</v>
      </c>
      <c r="B83" s="2" t="s">
        <v>213</v>
      </c>
      <c r="C83" s="2" t="s">
        <v>303</v>
      </c>
      <c r="D83" s="2" t="s">
        <v>151</v>
      </c>
      <c r="E83" s="2">
        <v>2.0870000000000002</v>
      </c>
      <c r="F83" s="2">
        <v>1.8919999999999999</v>
      </c>
      <c r="G83" s="2">
        <v>35</v>
      </c>
      <c r="H83" s="2">
        <v>1</v>
      </c>
      <c r="I83" s="2">
        <v>35</v>
      </c>
      <c r="J83" s="2">
        <v>30.62</v>
      </c>
      <c r="K83" s="2">
        <v>1576.27</v>
      </c>
      <c r="L83" s="2">
        <v>157.63</v>
      </c>
      <c r="M83" s="2">
        <v>346.78</v>
      </c>
      <c r="N83" s="2">
        <v>10</v>
      </c>
    </row>
    <row r="84" spans="1:14" x14ac:dyDescent="0.3">
      <c r="A84" s="4" t="s">
        <v>125</v>
      </c>
      <c r="B84" s="2" t="s">
        <v>214</v>
      </c>
      <c r="C84" s="2" t="s">
        <v>304</v>
      </c>
      <c r="D84" s="2" t="s">
        <v>152</v>
      </c>
      <c r="E84" s="2">
        <v>0.90500000000000003</v>
      </c>
      <c r="F84" s="2">
        <v>0.82</v>
      </c>
      <c r="G84" s="2">
        <v>39</v>
      </c>
      <c r="H84" s="2">
        <v>1</v>
      </c>
      <c r="I84" s="2">
        <v>39</v>
      </c>
      <c r="J84" s="2">
        <v>34.119999999999997</v>
      </c>
      <c r="K84" s="2">
        <v>1747.63</v>
      </c>
      <c r="L84" s="2">
        <v>174.76</v>
      </c>
      <c r="M84" s="2">
        <v>384.48</v>
      </c>
      <c r="N84" s="2">
        <v>10</v>
      </c>
    </row>
    <row r="85" spans="1:14" x14ac:dyDescent="0.3">
      <c r="A85" s="4" t="s">
        <v>125</v>
      </c>
      <c r="B85" s="2" t="s">
        <v>215</v>
      </c>
      <c r="C85" s="2" t="s">
        <v>305</v>
      </c>
      <c r="D85" s="2" t="s">
        <v>153</v>
      </c>
      <c r="E85" s="2">
        <v>5.9580000000000002</v>
      </c>
      <c r="F85" s="2">
        <v>5.4</v>
      </c>
      <c r="G85" s="2">
        <v>47</v>
      </c>
      <c r="H85" s="2">
        <v>4</v>
      </c>
      <c r="I85" s="2">
        <v>188</v>
      </c>
      <c r="J85" s="2">
        <v>164.47</v>
      </c>
      <c r="K85" s="2">
        <v>8434.35</v>
      </c>
      <c r="L85" s="2">
        <v>843.44</v>
      </c>
      <c r="M85" s="2">
        <v>1855.56</v>
      </c>
      <c r="N85" s="2">
        <v>10</v>
      </c>
    </row>
    <row r="86" spans="1:14" x14ac:dyDescent="0.3">
      <c r="A86" s="4" t="s">
        <v>125</v>
      </c>
      <c r="B86" s="2" t="s">
        <v>216</v>
      </c>
      <c r="C86" s="2" t="s">
        <v>306</v>
      </c>
      <c r="D86" s="2" t="s">
        <v>154</v>
      </c>
      <c r="E86" s="2">
        <v>0.59599999999999997</v>
      </c>
      <c r="F86" s="2">
        <v>0.54</v>
      </c>
      <c r="G86" s="2">
        <v>24.9</v>
      </c>
      <c r="H86" s="2">
        <v>3</v>
      </c>
      <c r="I86" s="2">
        <v>74.7</v>
      </c>
      <c r="J86" s="2">
        <v>65.349999999999994</v>
      </c>
      <c r="K86" s="2">
        <v>3340.35</v>
      </c>
      <c r="L86" s="2">
        <v>334.04</v>
      </c>
      <c r="M86" s="2">
        <v>734.88</v>
      </c>
      <c r="N86" s="2">
        <v>10</v>
      </c>
    </row>
    <row r="87" spans="1:14" x14ac:dyDescent="0.3">
      <c r="A87" s="4" t="s">
        <v>125</v>
      </c>
      <c r="B87" s="2" t="s">
        <v>217</v>
      </c>
      <c r="C87" s="2" t="s">
        <v>307</v>
      </c>
      <c r="D87" s="2" t="s">
        <v>155</v>
      </c>
      <c r="E87" s="2">
        <v>3.1219999999999999</v>
      </c>
      <c r="F87" s="2">
        <v>2.83</v>
      </c>
      <c r="G87" s="2">
        <v>17.5</v>
      </c>
      <c r="H87" s="2">
        <v>5</v>
      </c>
      <c r="I87" s="2">
        <v>87.5</v>
      </c>
      <c r="J87" s="2">
        <v>76.55</v>
      </c>
      <c r="K87" s="2">
        <v>3927.72</v>
      </c>
      <c r="L87" s="2">
        <v>392.77</v>
      </c>
      <c r="M87" s="2">
        <v>864.1</v>
      </c>
      <c r="N87" s="2">
        <v>10</v>
      </c>
    </row>
    <row r="88" spans="1:14" x14ac:dyDescent="0.3">
      <c r="A88" s="4" t="s">
        <v>125</v>
      </c>
      <c r="B88" s="2" t="s">
        <v>218</v>
      </c>
      <c r="C88" s="2" t="s">
        <v>308</v>
      </c>
      <c r="D88" s="2" t="s">
        <v>156</v>
      </c>
      <c r="E88" s="2">
        <v>1.655</v>
      </c>
      <c r="F88" s="2">
        <v>1.5</v>
      </c>
      <c r="G88" s="2">
        <v>54</v>
      </c>
      <c r="H88" s="2">
        <v>4</v>
      </c>
      <c r="I88" s="2">
        <v>216</v>
      </c>
      <c r="J88" s="2">
        <v>188.96</v>
      </c>
      <c r="K88" s="2">
        <v>9658.43</v>
      </c>
      <c r="L88" s="2">
        <v>965.84</v>
      </c>
      <c r="M88" s="2">
        <v>2124.85</v>
      </c>
      <c r="N88" s="2">
        <v>10</v>
      </c>
    </row>
    <row r="89" spans="1:14" x14ac:dyDescent="0.3">
      <c r="A89" s="4" t="s">
        <v>125</v>
      </c>
      <c r="B89" s="2" t="s">
        <v>157</v>
      </c>
      <c r="C89" s="2" t="s">
        <v>309</v>
      </c>
      <c r="D89" s="2" t="s">
        <v>158</v>
      </c>
      <c r="E89" s="2">
        <v>0.55200000000000005</v>
      </c>
      <c r="F89" s="2">
        <v>0.5</v>
      </c>
      <c r="G89" s="2">
        <v>84</v>
      </c>
      <c r="H89" s="2">
        <v>2</v>
      </c>
      <c r="I89" s="2">
        <v>168</v>
      </c>
      <c r="J89" s="2">
        <v>146.97</v>
      </c>
      <c r="K89" s="2">
        <v>7507.57</v>
      </c>
      <c r="L89" s="2">
        <v>750.76</v>
      </c>
      <c r="M89" s="2">
        <v>1651.67</v>
      </c>
      <c r="N89" s="2">
        <v>10</v>
      </c>
    </row>
    <row r="90" spans="1:14" x14ac:dyDescent="0.3">
      <c r="A90" s="4" t="s">
        <v>125</v>
      </c>
      <c r="B90" s="2" t="s">
        <v>223</v>
      </c>
      <c r="C90" s="2" t="s">
        <v>310</v>
      </c>
      <c r="D90" s="2" t="s">
        <v>159</v>
      </c>
      <c r="E90" s="2">
        <v>0.27600000000000002</v>
      </c>
      <c r="F90" s="2">
        <v>0.25</v>
      </c>
      <c r="G90" s="2">
        <v>24.9</v>
      </c>
      <c r="H90" s="2">
        <v>1</v>
      </c>
      <c r="I90" s="2">
        <v>24.9</v>
      </c>
      <c r="J90" s="2">
        <v>21.78</v>
      </c>
      <c r="K90" s="2">
        <v>1113.93</v>
      </c>
      <c r="L90" s="2">
        <v>111.39</v>
      </c>
      <c r="M90" s="2">
        <v>245.06</v>
      </c>
      <c r="N90" s="2">
        <v>10</v>
      </c>
    </row>
    <row r="91" spans="1:14" x14ac:dyDescent="0.3">
      <c r="A91" s="4" t="s">
        <v>125</v>
      </c>
      <c r="B91" s="2" t="s">
        <v>219</v>
      </c>
      <c r="C91" s="2" t="s">
        <v>311</v>
      </c>
      <c r="D91" s="2" t="s">
        <v>139</v>
      </c>
      <c r="E91" s="2">
        <v>4.4130000000000003</v>
      </c>
      <c r="F91" s="2">
        <v>4</v>
      </c>
      <c r="G91" s="2">
        <v>89</v>
      </c>
      <c r="H91" s="2">
        <v>2</v>
      </c>
      <c r="I91" s="2">
        <v>178</v>
      </c>
      <c r="J91" s="2">
        <v>155.72</v>
      </c>
      <c r="K91" s="2">
        <v>7978.12</v>
      </c>
      <c r="L91" s="2">
        <v>797.81</v>
      </c>
      <c r="M91" s="2">
        <v>1755.19</v>
      </c>
      <c r="N91" s="2">
        <v>10</v>
      </c>
    </row>
    <row r="92" spans="1:14" x14ac:dyDescent="0.3">
      <c r="A92" s="6" t="s">
        <v>125</v>
      </c>
      <c r="B92" s="7" t="s">
        <v>220</v>
      </c>
      <c r="C92" s="2" t="s">
        <v>312</v>
      </c>
      <c r="D92" s="7" t="s">
        <v>160</v>
      </c>
      <c r="E92" s="7">
        <v>10.757</v>
      </c>
      <c r="F92" s="7">
        <v>9.75</v>
      </c>
      <c r="G92" s="7">
        <v>36</v>
      </c>
      <c r="H92" s="7">
        <v>10</v>
      </c>
      <c r="I92" s="7">
        <v>360</v>
      </c>
      <c r="J92" s="2">
        <v>314.93</v>
      </c>
      <c r="K92" s="7">
        <v>16146.85</v>
      </c>
      <c r="L92" s="7">
        <v>1614.69</v>
      </c>
      <c r="M92" s="7">
        <v>3552.31</v>
      </c>
      <c r="N92" s="2">
        <v>10</v>
      </c>
    </row>
    <row r="93" spans="1:14" x14ac:dyDescent="0.3">
      <c r="A93" s="4" t="s">
        <v>125</v>
      </c>
      <c r="B93" s="2" t="s">
        <v>221</v>
      </c>
      <c r="C93" s="2" t="s">
        <v>313</v>
      </c>
      <c r="D93" s="2" t="s">
        <v>161</v>
      </c>
      <c r="E93" s="2">
        <v>8.3629999999999995</v>
      </c>
      <c r="F93" s="2">
        <v>7.58</v>
      </c>
      <c r="G93" s="2">
        <v>52</v>
      </c>
      <c r="H93" s="2">
        <v>4</v>
      </c>
      <c r="I93" s="2">
        <v>208</v>
      </c>
      <c r="J93" s="2">
        <v>181.96</v>
      </c>
      <c r="K93" s="2">
        <v>9342.57</v>
      </c>
      <c r="L93" s="2">
        <v>934.26</v>
      </c>
      <c r="M93" s="2">
        <v>2055.37</v>
      </c>
      <c r="N93" s="2">
        <v>10</v>
      </c>
    </row>
    <row r="94" spans="1:14" x14ac:dyDescent="0.3">
      <c r="A94" s="4" t="s">
        <v>125</v>
      </c>
      <c r="B94" s="2" t="s">
        <v>222</v>
      </c>
      <c r="C94" s="2" t="s">
        <v>314</v>
      </c>
      <c r="D94" s="2" t="s">
        <v>145</v>
      </c>
      <c r="E94" s="2">
        <v>9.5980000000000008</v>
      </c>
      <c r="F94" s="2">
        <v>8.6999999999999993</v>
      </c>
      <c r="G94" s="2">
        <v>37</v>
      </c>
      <c r="H94" s="2">
        <v>4</v>
      </c>
      <c r="I94" s="2">
        <v>148</v>
      </c>
      <c r="J94" s="2">
        <v>129.47</v>
      </c>
      <c r="K94" s="2">
        <v>6670.15</v>
      </c>
      <c r="L94" s="2">
        <v>667.02</v>
      </c>
      <c r="M94" s="2">
        <v>1467.43</v>
      </c>
      <c r="N94" s="2">
        <v>10</v>
      </c>
    </row>
    <row r="95" spans="1:14" x14ac:dyDescent="0.3">
      <c r="A95" s="4" t="s">
        <v>125</v>
      </c>
      <c r="B95" s="2" t="s">
        <v>162</v>
      </c>
      <c r="C95" s="2" t="s">
        <v>315</v>
      </c>
      <c r="D95" s="2" t="s">
        <v>163</v>
      </c>
      <c r="E95" s="2">
        <v>10.039999999999999</v>
      </c>
      <c r="F95" s="2">
        <v>9.1</v>
      </c>
      <c r="G95" s="2">
        <v>125</v>
      </c>
      <c r="H95" s="2">
        <v>4</v>
      </c>
      <c r="I95" s="2">
        <v>500</v>
      </c>
      <c r="J95" s="2">
        <v>437.41</v>
      </c>
      <c r="K95" s="5">
        <f>SUM(22395.88,0.01)</f>
        <v>22395.89</v>
      </c>
      <c r="L95" s="5">
        <f>SUM(2239.59,-0.05)</f>
        <v>2239.54</v>
      </c>
      <c r="M95" s="2">
        <v>4927.09</v>
      </c>
      <c r="N95" s="2">
        <v>10</v>
      </c>
    </row>
    <row r="96" spans="1:14" x14ac:dyDescent="0.3">
      <c r="A96" s="4" t="s">
        <v>164</v>
      </c>
      <c r="B96" s="2" t="s">
        <v>165</v>
      </c>
      <c r="C96" s="2" t="s">
        <v>316</v>
      </c>
      <c r="D96" s="2" t="s">
        <v>166</v>
      </c>
      <c r="E96" s="2">
        <v>4.3579999999999997</v>
      </c>
      <c r="F96" s="2">
        <v>3.95</v>
      </c>
      <c r="G96" s="2">
        <v>169</v>
      </c>
      <c r="H96" s="2">
        <v>1</v>
      </c>
      <c r="I96" s="2">
        <v>169</v>
      </c>
      <c r="J96" s="2">
        <v>147.84</v>
      </c>
      <c r="K96" s="5">
        <f>SUM(7575.77,-0.01)</f>
        <v>7575.76</v>
      </c>
      <c r="L96" s="5">
        <f>SUM(378.79,-0.01)</f>
        <v>378.78000000000003</v>
      </c>
      <c r="M96" s="2">
        <v>1590.91</v>
      </c>
      <c r="N96" s="2">
        <v>5</v>
      </c>
    </row>
    <row r="97" spans="1:14" x14ac:dyDescent="0.3">
      <c r="A97" s="6" t="s">
        <v>164</v>
      </c>
      <c r="B97" s="7" t="s">
        <v>167</v>
      </c>
      <c r="C97" s="2" t="s">
        <v>317</v>
      </c>
      <c r="D97" s="7" t="s">
        <v>168</v>
      </c>
      <c r="E97" s="7">
        <v>0.45200000000000001</v>
      </c>
      <c r="F97" s="7">
        <v>0.41</v>
      </c>
      <c r="G97" s="7">
        <v>6.75</v>
      </c>
      <c r="H97" s="7">
        <v>2</v>
      </c>
      <c r="I97" s="7">
        <v>13.5</v>
      </c>
      <c r="J97" s="2">
        <v>11.81</v>
      </c>
      <c r="K97" s="7">
        <v>605.80999999999995</v>
      </c>
      <c r="L97" s="7">
        <v>30.29</v>
      </c>
      <c r="M97" s="7">
        <v>127.22</v>
      </c>
      <c r="N97" s="2">
        <v>5</v>
      </c>
    </row>
    <row r="98" spans="1:14" x14ac:dyDescent="0.3">
      <c r="A98" s="4" t="s">
        <v>164</v>
      </c>
      <c r="B98" s="2" t="s">
        <v>169</v>
      </c>
      <c r="C98" s="2" t="s">
        <v>318</v>
      </c>
      <c r="D98" s="2" t="s">
        <v>170</v>
      </c>
      <c r="E98" s="2">
        <v>1.92</v>
      </c>
      <c r="F98" s="2">
        <v>1.74</v>
      </c>
      <c r="G98" s="2">
        <v>26.9</v>
      </c>
      <c r="H98" s="2">
        <v>4</v>
      </c>
      <c r="I98" s="2">
        <v>107.6</v>
      </c>
      <c r="J98" s="2">
        <v>94.13</v>
      </c>
      <c r="K98" s="2">
        <v>4818.1099999999997</v>
      </c>
      <c r="L98" s="2">
        <v>240.91</v>
      </c>
      <c r="M98" s="2">
        <v>1011.8</v>
      </c>
      <c r="N98" s="2">
        <v>5</v>
      </c>
    </row>
    <row r="99" spans="1:14" x14ac:dyDescent="0.3">
      <c r="A99" s="4" t="s">
        <v>164</v>
      </c>
      <c r="B99" s="2" t="s">
        <v>171</v>
      </c>
      <c r="C99" s="2" t="s">
        <v>319</v>
      </c>
      <c r="D99" s="2" t="s">
        <v>172</v>
      </c>
      <c r="E99" s="2">
        <v>0.70599999999999996</v>
      </c>
      <c r="F99" s="2">
        <v>0.64</v>
      </c>
      <c r="G99" s="2">
        <v>27.5</v>
      </c>
      <c r="H99" s="2">
        <v>4</v>
      </c>
      <c r="I99" s="2">
        <v>110</v>
      </c>
      <c r="J99" s="2">
        <v>96.23</v>
      </c>
      <c r="K99" s="2">
        <v>4917.8</v>
      </c>
      <c r="L99" s="2">
        <v>245.89</v>
      </c>
      <c r="M99" s="2">
        <v>1032.74</v>
      </c>
      <c r="N99" s="2">
        <v>5</v>
      </c>
    </row>
    <row r="100" spans="1:14" x14ac:dyDescent="0.3">
      <c r="A100" s="4" t="s">
        <v>173</v>
      </c>
      <c r="B100" s="2" t="s">
        <v>174</v>
      </c>
      <c r="C100" s="2" t="s">
        <v>320</v>
      </c>
      <c r="D100" s="2" t="s">
        <v>175</v>
      </c>
      <c r="E100" s="2">
        <v>5.9130000000000003</v>
      </c>
      <c r="F100" s="2">
        <v>5.36</v>
      </c>
      <c r="G100" s="2">
        <v>68</v>
      </c>
      <c r="H100" s="2">
        <v>2</v>
      </c>
      <c r="I100" s="2">
        <v>136</v>
      </c>
      <c r="J100" s="2">
        <v>118.97</v>
      </c>
      <c r="K100" s="2">
        <v>6111.35</v>
      </c>
      <c r="L100" s="2">
        <v>611.14</v>
      </c>
      <c r="M100" s="2">
        <v>1344.5</v>
      </c>
      <c r="N100" s="2">
        <v>10</v>
      </c>
    </row>
    <row r="101" spans="1:14" x14ac:dyDescent="0.3">
      <c r="A101" s="4" t="s">
        <v>173</v>
      </c>
      <c r="B101" s="2" t="s">
        <v>224</v>
      </c>
      <c r="C101" s="2" t="s">
        <v>321</v>
      </c>
      <c r="D101" s="2" t="s">
        <v>175</v>
      </c>
      <c r="E101" s="2">
        <v>4.9210000000000003</v>
      </c>
      <c r="F101" s="2">
        <v>4.46</v>
      </c>
      <c r="G101" s="2">
        <v>76</v>
      </c>
      <c r="H101" s="2">
        <v>2</v>
      </c>
      <c r="I101" s="2">
        <v>152</v>
      </c>
      <c r="J101" s="2">
        <v>132.97</v>
      </c>
      <c r="K101" s="2">
        <v>6819.9</v>
      </c>
      <c r="L101" s="2">
        <v>681.99</v>
      </c>
      <c r="M101" s="2">
        <v>1500.38</v>
      </c>
      <c r="N101" s="2">
        <v>10</v>
      </c>
    </row>
    <row r="102" spans="1:14" x14ac:dyDescent="0.3">
      <c r="A102" s="4" t="s">
        <v>173</v>
      </c>
      <c r="B102" s="2" t="s">
        <v>176</v>
      </c>
      <c r="C102" s="2" t="s">
        <v>322</v>
      </c>
      <c r="D102" s="2" t="s">
        <v>177</v>
      </c>
      <c r="E102" s="2">
        <v>14.695</v>
      </c>
      <c r="F102" s="2">
        <v>13.32</v>
      </c>
      <c r="G102" s="2">
        <v>64</v>
      </c>
      <c r="H102" s="2">
        <v>4</v>
      </c>
      <c r="I102" s="2">
        <v>256</v>
      </c>
      <c r="J102" s="2">
        <v>223.95</v>
      </c>
      <c r="K102" s="2">
        <v>11525.77</v>
      </c>
      <c r="L102" s="5">
        <f>SUM(1152.58,-0.02)</f>
        <v>1152.56</v>
      </c>
      <c r="M102" s="5">
        <f>SUM(2535.67,-0.02)</f>
        <v>2535.65</v>
      </c>
      <c r="N102" s="2">
        <v>10</v>
      </c>
    </row>
    <row r="103" spans="1:14" x14ac:dyDescent="0.3">
      <c r="A103" s="4" t="s">
        <v>173</v>
      </c>
      <c r="B103" s="2" t="s">
        <v>178</v>
      </c>
      <c r="C103" s="2" t="s">
        <v>323</v>
      </c>
      <c r="D103" s="2" t="s">
        <v>179</v>
      </c>
      <c r="E103" s="2">
        <v>0.34200000000000003</v>
      </c>
      <c r="F103" s="2">
        <v>0.31</v>
      </c>
      <c r="G103" s="2">
        <v>16</v>
      </c>
      <c r="H103" s="2">
        <v>2</v>
      </c>
      <c r="I103" s="2">
        <v>32</v>
      </c>
      <c r="J103" s="2">
        <v>27.99</v>
      </c>
      <c r="K103" s="2">
        <v>1431.48</v>
      </c>
      <c r="L103" s="2">
        <v>143.15</v>
      </c>
      <c r="M103" s="2">
        <v>314.93</v>
      </c>
      <c r="N103" s="2">
        <v>10</v>
      </c>
    </row>
    <row r="104" spans="1:14" x14ac:dyDescent="0.3">
      <c r="A104" s="4" t="s">
        <v>173</v>
      </c>
      <c r="B104" s="2" t="s">
        <v>180</v>
      </c>
      <c r="C104" s="2" t="s">
        <v>324</v>
      </c>
      <c r="D104" s="2" t="s">
        <v>179</v>
      </c>
      <c r="E104" s="2">
        <v>0.72799999999999998</v>
      </c>
      <c r="F104" s="2">
        <v>0.66</v>
      </c>
      <c r="G104" s="2">
        <v>11.5</v>
      </c>
      <c r="H104" s="2">
        <v>2</v>
      </c>
      <c r="I104" s="2">
        <v>23</v>
      </c>
      <c r="J104" s="2">
        <v>20.12</v>
      </c>
      <c r="K104" s="2">
        <v>1031.8599999999999</v>
      </c>
      <c r="L104" s="2">
        <v>103.19</v>
      </c>
      <c r="M104" s="2">
        <v>227.01</v>
      </c>
      <c r="N104" s="2">
        <v>10</v>
      </c>
    </row>
    <row r="105" spans="1:14" x14ac:dyDescent="0.3">
      <c r="A105" s="4" t="s">
        <v>173</v>
      </c>
      <c r="B105" s="2" t="s">
        <v>181</v>
      </c>
      <c r="C105" s="2" t="s">
        <v>325</v>
      </c>
      <c r="D105" s="2" t="s">
        <v>182</v>
      </c>
      <c r="E105" s="2">
        <v>1.633</v>
      </c>
      <c r="F105" s="2">
        <v>1.48</v>
      </c>
      <c r="G105" s="2">
        <v>15.75</v>
      </c>
      <c r="H105" s="2">
        <v>4</v>
      </c>
      <c r="I105" s="2">
        <v>63</v>
      </c>
      <c r="J105" s="2">
        <v>55.11</v>
      </c>
      <c r="K105" s="2">
        <v>2824.16</v>
      </c>
      <c r="L105" s="2">
        <v>282.42</v>
      </c>
      <c r="M105" s="2">
        <v>621.32000000000005</v>
      </c>
      <c r="N105" s="2">
        <v>10</v>
      </c>
    </row>
    <row r="106" spans="1:14" x14ac:dyDescent="0.3">
      <c r="A106" s="4" t="s">
        <v>173</v>
      </c>
      <c r="B106" s="2" t="s">
        <v>183</v>
      </c>
      <c r="C106" s="2" t="s">
        <v>326</v>
      </c>
      <c r="D106" s="2" t="s">
        <v>175</v>
      </c>
      <c r="E106" s="2">
        <v>5.9470000000000001</v>
      </c>
      <c r="F106" s="2">
        <v>5.39</v>
      </c>
      <c r="G106" s="2">
        <v>58</v>
      </c>
      <c r="H106" s="2">
        <v>2</v>
      </c>
      <c r="I106" s="2">
        <v>116</v>
      </c>
      <c r="J106" s="2">
        <v>101.48</v>
      </c>
      <c r="K106" s="2">
        <v>5218.21</v>
      </c>
      <c r="L106" s="2">
        <v>521.82000000000005</v>
      </c>
      <c r="M106" s="2">
        <v>1148.01</v>
      </c>
      <c r="N106" s="2">
        <v>10</v>
      </c>
    </row>
    <row r="107" spans="1:14" x14ac:dyDescent="0.3">
      <c r="A107" s="4" t="s">
        <v>173</v>
      </c>
      <c r="B107" s="2" t="s">
        <v>184</v>
      </c>
      <c r="C107" s="2" t="s">
        <v>327</v>
      </c>
      <c r="D107" s="2" t="s">
        <v>175</v>
      </c>
      <c r="E107" s="2">
        <v>7.1269999999999998</v>
      </c>
      <c r="F107" s="2">
        <v>6.46</v>
      </c>
      <c r="G107" s="2">
        <v>80</v>
      </c>
      <c r="H107" s="2">
        <v>2</v>
      </c>
      <c r="I107" s="2">
        <v>160</v>
      </c>
      <c r="J107" s="2">
        <v>139.97</v>
      </c>
      <c r="K107" s="2">
        <v>7190.88</v>
      </c>
      <c r="L107" s="2">
        <v>719.09</v>
      </c>
      <c r="M107" s="2">
        <v>1581.99</v>
      </c>
      <c r="N107" s="2">
        <v>10</v>
      </c>
    </row>
    <row r="108" spans="1:14" x14ac:dyDescent="0.3">
      <c r="A108" s="6" t="s">
        <v>173</v>
      </c>
      <c r="B108" s="7" t="s">
        <v>185</v>
      </c>
      <c r="C108" s="2" t="s">
        <v>328</v>
      </c>
      <c r="D108" s="7" t="s">
        <v>186</v>
      </c>
      <c r="E108" s="7">
        <v>3.641</v>
      </c>
      <c r="F108" s="7">
        <v>3.3</v>
      </c>
      <c r="G108" s="7">
        <v>76</v>
      </c>
      <c r="H108" s="7">
        <v>1</v>
      </c>
      <c r="I108" s="7">
        <v>76</v>
      </c>
      <c r="J108" s="2">
        <v>66.489999999999995</v>
      </c>
      <c r="K108" s="7">
        <v>3417.25</v>
      </c>
      <c r="L108" s="7">
        <v>341.73</v>
      </c>
      <c r="M108" s="7">
        <v>751.8</v>
      </c>
      <c r="N108" s="2">
        <v>10</v>
      </c>
    </row>
    <row r="109" spans="1:14" x14ac:dyDescent="0.3">
      <c r="A109" s="4" t="s">
        <v>173</v>
      </c>
      <c r="B109" s="2" t="s">
        <v>187</v>
      </c>
      <c r="C109" s="2" t="s">
        <v>329</v>
      </c>
      <c r="D109" s="2" t="s">
        <v>188</v>
      </c>
      <c r="E109" s="2">
        <v>1.986</v>
      </c>
      <c r="F109" s="2">
        <v>1.8</v>
      </c>
      <c r="G109" s="2">
        <v>12</v>
      </c>
      <c r="H109" s="2">
        <v>10</v>
      </c>
      <c r="I109" s="2">
        <v>120</v>
      </c>
      <c r="J109" s="2">
        <v>104.98</v>
      </c>
      <c r="K109" s="2">
        <v>5372.39</v>
      </c>
      <c r="L109" s="2">
        <v>537.24</v>
      </c>
      <c r="M109" s="2">
        <v>1181.93</v>
      </c>
      <c r="N109" s="2">
        <v>10</v>
      </c>
    </row>
    <row r="110" spans="1:14" x14ac:dyDescent="0.3">
      <c r="A110" s="6" t="s">
        <v>189</v>
      </c>
      <c r="B110" s="7" t="s">
        <v>190</v>
      </c>
      <c r="C110" s="2" t="s">
        <v>330</v>
      </c>
      <c r="D110" s="7" t="s">
        <v>191</v>
      </c>
      <c r="E110" s="7">
        <v>3.448</v>
      </c>
      <c r="F110" s="7">
        <v>3.125</v>
      </c>
      <c r="G110" s="7">
        <v>24</v>
      </c>
      <c r="H110" s="7">
        <v>25</v>
      </c>
      <c r="I110" s="7">
        <v>600</v>
      </c>
      <c r="J110" s="2">
        <v>524.89</v>
      </c>
      <c r="K110" s="7">
        <v>26821.88</v>
      </c>
      <c r="L110" s="7">
        <v>0</v>
      </c>
      <c r="M110" s="7">
        <v>5364.38</v>
      </c>
      <c r="N110" s="7">
        <v>0</v>
      </c>
    </row>
    <row r="111" spans="1:14" x14ac:dyDescent="0.3">
      <c r="E111">
        <f>SUM(E5:E110)</f>
        <v>705.20999999999947</v>
      </c>
      <c r="F111">
        <f t="shared" ref="F111:N111" si="0">SUM(F5:F110)</f>
        <v>639.21000000000015</v>
      </c>
      <c r="G111">
        <f t="shared" si="0"/>
        <v>4459.7000000000007</v>
      </c>
      <c r="H111">
        <f t="shared" si="0"/>
        <v>589</v>
      </c>
      <c r="I111">
        <f t="shared" si="0"/>
        <v>17645.2</v>
      </c>
      <c r="J111">
        <f t="shared" si="0"/>
        <v>15436.259999999987</v>
      </c>
      <c r="K111">
        <f t="shared" si="0"/>
        <v>792529.09000000008</v>
      </c>
      <c r="L111">
        <f t="shared" si="0"/>
        <v>28016.370000000003</v>
      </c>
      <c r="M111">
        <f t="shared" si="0"/>
        <v>164109.09999999995</v>
      </c>
      <c r="N111">
        <f t="shared" si="0"/>
        <v>554.5</v>
      </c>
    </row>
    <row r="115" spans="6:13" x14ac:dyDescent="0.3">
      <c r="F115" s="9">
        <f>E111/F111</f>
        <v>1.1032524522457396</v>
      </c>
    </row>
    <row r="124" spans="6:13" x14ac:dyDescent="0.3">
      <c r="G124" s="12" t="s">
        <v>331</v>
      </c>
      <c r="H124" s="12" t="s">
        <v>332</v>
      </c>
      <c r="I124" s="12" t="s">
        <v>333</v>
      </c>
      <c r="J124" s="12" t="s">
        <v>334</v>
      </c>
      <c r="K124" s="12" t="s">
        <v>335</v>
      </c>
      <c r="L124" s="12" t="s">
        <v>336</v>
      </c>
      <c r="M124" s="12" t="s">
        <v>337</v>
      </c>
    </row>
    <row r="125" spans="6:13" x14ac:dyDescent="0.3">
      <c r="G125" s="13">
        <v>492804.74</v>
      </c>
      <c r="H125" s="14"/>
      <c r="I125" s="14"/>
      <c r="J125" s="14"/>
      <c r="K125" s="14"/>
      <c r="L125" s="14" t="s">
        <v>338</v>
      </c>
      <c r="M125" s="13">
        <v>98560.95</v>
      </c>
    </row>
    <row r="126" spans="6:13" x14ac:dyDescent="0.3">
      <c r="G126" s="13">
        <v>37701.71</v>
      </c>
      <c r="H126" s="15">
        <v>5</v>
      </c>
      <c r="I126" s="13">
        <v>1885.09</v>
      </c>
      <c r="J126" s="14"/>
      <c r="K126" s="14"/>
      <c r="L126" s="14" t="s">
        <v>338</v>
      </c>
      <c r="M126" s="13">
        <v>7917.36</v>
      </c>
    </row>
    <row r="127" spans="6:13" x14ac:dyDescent="0.3">
      <c r="G127" s="13">
        <v>2027.92</v>
      </c>
      <c r="H127" s="15">
        <v>6.5</v>
      </c>
      <c r="I127" s="15">
        <v>131.81</v>
      </c>
      <c r="J127" s="14"/>
      <c r="K127" s="14"/>
      <c r="L127" s="14" t="s">
        <v>338</v>
      </c>
      <c r="M127" s="15">
        <v>431.95</v>
      </c>
    </row>
    <row r="128" spans="6:13" x14ac:dyDescent="0.3">
      <c r="G128" s="13">
        <v>259994.72</v>
      </c>
      <c r="H128" s="15">
        <v>10</v>
      </c>
      <c r="I128" s="13">
        <v>25999.47</v>
      </c>
      <c r="J128" s="14"/>
      <c r="K128" s="14"/>
      <c r="L128" s="14" t="s">
        <v>338</v>
      </c>
      <c r="M128" s="13">
        <v>57198.84</v>
      </c>
    </row>
    <row r="129" spans="7:13" x14ac:dyDescent="0.3">
      <c r="G129" s="16">
        <f>SUM(G125:G128)</f>
        <v>792529.09</v>
      </c>
      <c r="H129" s="16">
        <f t="shared" ref="H129:M129" si="1">SUM(H125:H128)</f>
        <v>21.5</v>
      </c>
      <c r="I129" s="16">
        <f t="shared" si="1"/>
        <v>28016.370000000003</v>
      </c>
      <c r="J129" s="16">
        <f t="shared" si="1"/>
        <v>0</v>
      </c>
      <c r="K129" s="16">
        <f t="shared" si="1"/>
        <v>0</v>
      </c>
      <c r="L129" s="16">
        <f t="shared" si="1"/>
        <v>0</v>
      </c>
      <c r="M129" s="16">
        <f t="shared" si="1"/>
        <v>164109.09999999998</v>
      </c>
    </row>
  </sheetData>
  <sortState xmlns:xlrd2="http://schemas.microsoft.com/office/spreadsheetml/2017/richdata2" ref="A5:N110">
    <sortCondition sortBy="cellColor" ref="A5:A110" dxfId="0"/>
  </sortState>
  <hyperlinks>
    <hyperlink ref="R1" r:id="rId1" display="https://bank.gov.ua/markets/exchangerate-chart?cn%5b%5d=USD" xr:uid="{8588AFE2-6E36-4319-A929-08AEF1E6B23D}"/>
    <hyperlink ref="R2" r:id="rId2" display="https://bank.gov.ua/markets/exchangerate-chart?cn%5b%5d=EUR" xr:uid="{DB80B2EC-7037-47CA-A305-A6A795E6770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Філіппова Катерина</cp:lastModifiedBy>
  <dcterms:created xsi:type="dcterms:W3CDTF">2026-07-20T16:38:33Z</dcterms:created>
  <dcterms:modified xsi:type="dcterms:W3CDTF">2026-07-21T13:44:32Z</dcterms:modified>
</cp:coreProperties>
</file>