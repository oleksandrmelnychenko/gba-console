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profiles\groups\Робота 2А\ПОСТАВКИ В УКР\АМГ\2026\П19 osmanli+mayer+aymeks+fss+remi+NRSP+HP\MAYER MYR2026000000008 08.07.2026\Розмитнення\"/>
    </mc:Choice>
  </mc:AlternateContent>
  <xr:revisionPtr revIDLastSave="0" documentId="13_ncr:1_{15BFD53D-9410-4948-A5AC-D65A11F5F30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</externalReferenc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6" i="1" l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5" i="1"/>
  <c r="E48" i="1"/>
  <c r="E50" i="1"/>
  <c r="F48" i="1"/>
  <c r="G48" i="1"/>
  <c r="H48" i="1"/>
  <c r="I48" i="1"/>
  <c r="J48" i="1"/>
  <c r="K48" i="1"/>
  <c r="L48" i="1"/>
  <c r="M48" i="1"/>
  <c r="L39" i="1"/>
  <c r="K39" i="1"/>
  <c r="J39" i="1"/>
  <c r="J36" i="1"/>
  <c r="K32" i="1"/>
  <c r="J32" i="1"/>
  <c r="L25" i="1"/>
  <c r="K25" i="1"/>
  <c r="J25" i="1"/>
</calcChain>
</file>

<file path=xl/sharedStrings.xml><?xml version="1.0" encoding="utf-8"?>
<sst xmlns="http://schemas.openxmlformats.org/spreadsheetml/2006/main" count="162" uniqueCount="125">
  <si>
    <t>Список товарів електронного інвойсу МД № 26UA400040014349U1 від 20.07.2026</t>
  </si>
  <si>
    <t>Код товару</t>
  </si>
  <si>
    <t>Артикул</t>
  </si>
  <si>
    <t>Назва товару</t>
  </si>
  <si>
    <t>Маса брутто</t>
  </si>
  <si>
    <t>Маса нетто</t>
  </si>
  <si>
    <t>Ціна</t>
  </si>
  <si>
    <t>Кіл-ть</t>
  </si>
  <si>
    <t>Вартість</t>
  </si>
  <si>
    <t>Митна вартість</t>
  </si>
  <si>
    <t>Мито</t>
  </si>
  <si>
    <t>СО</t>
  </si>
  <si>
    <t>ПДВ</t>
  </si>
  <si>
    <t>4016995790</t>
  </si>
  <si>
    <t>40766CNT</t>
  </si>
  <si>
    <t>Комплект бризговиків універсальний гумовий передній-10шт, № по каталогу 40766CNT,</t>
  </si>
  <si>
    <t>40767CNT</t>
  </si>
  <si>
    <t>Комплект бризговиків універсальний гумовий передній-10шт, № по каталогу 40767CNT,</t>
  </si>
  <si>
    <t>40768CNT</t>
  </si>
  <si>
    <t>Комплект бризговиків універсальний гумовий передній-10шт, № по каталогу 40768CNT,</t>
  </si>
  <si>
    <t>40769CNT</t>
  </si>
  <si>
    <t>Комплект бризговиків універсальний гумовий-10шт, № по каталогу 40769CNT,</t>
  </si>
  <si>
    <t>13465CNT</t>
  </si>
  <si>
    <t>Бризговик причіпу гума-12шт, № по каталогу 13465CNT,</t>
  </si>
  <si>
    <t>40770CNT</t>
  </si>
  <si>
    <t>Бризговик причіпу гума-12шт, № по каталогу 40770CNT,</t>
  </si>
  <si>
    <t>40771CNT</t>
  </si>
  <si>
    <t>Бризговик причіпу гума-12шт, № по каталогу 40771CNT,</t>
  </si>
  <si>
    <t>13466CNT</t>
  </si>
  <si>
    <t>Бризговик причіпу гума-12шт, № по каталогу 13466CNT,</t>
  </si>
  <si>
    <t>15038CNT</t>
  </si>
  <si>
    <t>Бризговик причіпу гума-12шт, № по каталогу 15038CNT,</t>
  </si>
  <si>
    <t>40772CNT</t>
  </si>
  <si>
    <t>Бризговик причіпу гума-12шт, № по каталогу 40772CNT,</t>
  </si>
  <si>
    <t>13470CNT</t>
  </si>
  <si>
    <t>Бризговик причіпу гума-12шт, № по каталогу 13470CNT,</t>
  </si>
  <si>
    <t>13460CNT</t>
  </si>
  <si>
    <t>Бризговик причіпу гума-48шт, № по каталогу 13460CNT,</t>
  </si>
  <si>
    <t>Бризговик причіпу гума-12шт, № по каталогу 13460CNT,</t>
  </si>
  <si>
    <t>40774CNT</t>
  </si>
  <si>
    <t>Бризговик причіпу гума-12шт, № по каталогу 40774CNT,</t>
  </si>
  <si>
    <t>40775CNT</t>
  </si>
  <si>
    <t>Бризговик причіпу гума-12шт, № по каталогу 40775CNT,</t>
  </si>
  <si>
    <t>40776CNT</t>
  </si>
  <si>
    <t>Бризговик причіпу гума-12шт, № по каталогу 40776CNT,</t>
  </si>
  <si>
    <t>40777CNT</t>
  </si>
  <si>
    <t>Бризговик причіпу гума-12шт, № по каталогу 40777CNT,</t>
  </si>
  <si>
    <t>13484CNT</t>
  </si>
  <si>
    <t>Бризговик причіпу гума-10шт, № по каталогу 13484CNT,</t>
  </si>
  <si>
    <t>15018CNT</t>
  </si>
  <si>
    <t>Бризговик причіпу гума-10шт, № по каталогу 15018CNT,</t>
  </si>
  <si>
    <t>15033CNT</t>
  </si>
  <si>
    <t>Бризговик причіпу гума-10шт, № по каталогу 15033CNT,</t>
  </si>
  <si>
    <t>13483CNT</t>
  </si>
  <si>
    <t>Бризговик причіпу гума-35шт, № по каталогу 13483CNT,</t>
  </si>
  <si>
    <t>13461CNT</t>
  </si>
  <si>
    <t>Бризговик причіпу гума-10шт, № по каталогу 13461CNT,</t>
  </si>
  <si>
    <t>40778CNT</t>
  </si>
  <si>
    <t>Бризговик причіпу гума-10шт, № по каталогу 40778CNT,</t>
  </si>
  <si>
    <t>3926300090</t>
  </si>
  <si>
    <t>107-201-077-0</t>
  </si>
  <si>
    <t>Стакан сепаратора-20шт, № по каталогу 107-201-077-0,</t>
  </si>
  <si>
    <t>4009310000</t>
  </si>
  <si>
    <t>107-301-054-0</t>
  </si>
  <si>
    <t>Патрубок радіатора охолодження-20шт, № по каталогу 107-301-054-0,</t>
  </si>
  <si>
    <t>4016995290</t>
  </si>
  <si>
    <t>108-102-008-S</t>
  </si>
  <si>
    <t>Пневмоподушка амортизатора кабіни-8шт, № по каталогу 108-102-008-S,</t>
  </si>
  <si>
    <t>108-105-008-S</t>
  </si>
  <si>
    <t>Пневмоподушка амортизатора кабіни-10шт, № по каталогу 108-105-008-S,</t>
  </si>
  <si>
    <t>108-106-002-S</t>
  </si>
  <si>
    <t>Пневмоподушка кабіни-8шт, № по каталогу 108-106-002-S,</t>
  </si>
  <si>
    <t>108-106-011-S</t>
  </si>
  <si>
    <t>Пневмоподушка амортизатора кабіни-8шт, № по каталогу 108-106-011-S,</t>
  </si>
  <si>
    <t>108-106-012-S</t>
  </si>
  <si>
    <t>Пневмоподушка амортизатора кабіни-8шт, № по каталогу 108-106-012-S,</t>
  </si>
  <si>
    <t>8708309198</t>
  </si>
  <si>
    <t>106-102-000-2</t>
  </si>
  <si>
    <t>Комплект ремонтний супорта гальмівного-30шт, № по каталогу 106-102-000-2,</t>
  </si>
  <si>
    <t>8708309998</t>
  </si>
  <si>
    <t>104-403-000-G</t>
  </si>
  <si>
    <t>Корпус модулятора ЕBS-10шт, № по каталогу 104-403-000-G,</t>
  </si>
  <si>
    <t>104-403-001-G</t>
  </si>
  <si>
    <t>Корпус модулятора ЕBS-10шт, № по каталогу 104-403-001-G,</t>
  </si>
  <si>
    <t>8708709990</t>
  </si>
  <si>
    <t>101-U11-011-1</t>
  </si>
  <si>
    <t>Ковпак колеса тягача-20шт, № по каталогу 101-U11-011-1,</t>
  </si>
  <si>
    <t>101-U11-101-2</t>
  </si>
  <si>
    <t>Ковпак колеса тягача метал-15шт, № по каталогу 101-U11-101-2,</t>
  </si>
  <si>
    <t>101-U11-108-2</t>
  </si>
  <si>
    <t>Ковпак колеса тягача метал-15шт, № по каталогу 101-U11-108-2,</t>
  </si>
  <si>
    <t>Ковпак колеса тягача метал-4шт, № по каталогу 101-U11-108-2,</t>
  </si>
  <si>
    <t>8708803598</t>
  </si>
  <si>
    <t>108-101-014-C</t>
  </si>
  <si>
    <t>Амортизатор кабіни з пневмоподушкою-8шт, № по каталогу 108-101-014-C,</t>
  </si>
  <si>
    <t>108-106-013-C</t>
  </si>
  <si>
    <t>Амортизатор кабіни з пневмоподушкою-8шт, № по каталогу 108-106-013-C,</t>
  </si>
  <si>
    <t>108-106-014-C</t>
  </si>
  <si>
    <t>Амортизатор кабіни з пневмоподушкою-8шт, № по каталогу 108-106-014-C,</t>
  </si>
  <si>
    <t>108-107-004-C</t>
  </si>
  <si>
    <t>Амортизатор кабіни з пневмоподушкою-8шт, № по каталогу 108-107-004-C,</t>
  </si>
  <si>
    <t>108-107-008-C</t>
  </si>
  <si>
    <t>Амортизатор кабіни з пневмоподушкою-8шт, № по каталогу 108-107-008-C,</t>
  </si>
  <si>
    <t>8708939098</t>
  </si>
  <si>
    <t>104-809-002-0</t>
  </si>
  <si>
    <t>Пневмогідропідсилювач зчеплення-6шт, № по каталогу 104-809-002-0,</t>
  </si>
  <si>
    <t>107-201-077-0 MAYER</t>
  </si>
  <si>
    <t>107-301-054-0 MAYER</t>
  </si>
  <si>
    <t>108-102-008-S MAYER</t>
  </si>
  <si>
    <t>108-105-008-S MAYER</t>
  </si>
  <si>
    <t>108-106-002-S MAYER</t>
  </si>
  <si>
    <t>108-106-011-S MAYER</t>
  </si>
  <si>
    <t>108-106-012-S MAYER</t>
  </si>
  <si>
    <t>106-102-000-2 MAYER</t>
  </si>
  <si>
    <t>104-403-000-G MAYER</t>
  </si>
  <si>
    <t>104-403-001-G MAYER</t>
  </si>
  <si>
    <t>101-U11-011-1 MAYER</t>
  </si>
  <si>
    <t>101-U11-101-2 MAYER</t>
  </si>
  <si>
    <t>101-U11-108-2 MAYER</t>
  </si>
  <si>
    <t>108-101-014-C MAYER</t>
  </si>
  <si>
    <t>108-106-013-C MAYER</t>
  </si>
  <si>
    <t>108-106-014-C MAYER</t>
  </si>
  <si>
    <t>108-107-004-C MAYER</t>
  </si>
  <si>
    <t>108-107-008-C MAYER</t>
  </si>
  <si>
    <t>104-809-002-0 MAYER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</si>
</sst>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Calibri"/>
      <family val="2"/>
      <scheme val="minor"/>
    </font>
    <font>
      <b/>
      <sz val="16"/>
      <color rgb="FF080000"/>
      <name val="Times New Roman"/>
      <family val="1"/>
      <charset val="204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0" xfId="1" applyFont="1"/>
    <xf numFmtId="0" fontId="0" fillId="0" borderId="2" xfId="1" applyFont="1" applyBorder="1"/>
    <xf numFmtId="0" fontId="0" fillId="2" borderId="1" xfId="1" applyFont="1" applyFill="1" applyBorder="1" applyAlignment="1">
      <alignment horizontal="center" vertical="top" wrapText="1"/>
    </xf>
    <xf numFmtId="0" fontId="0" fillId="0" borderId="2" xfId="1" applyFont="1" applyBorder="1" applyAlignment="1">
      <alignment horizontal="center" vertical="top"/>
    </xf>
    <xf numFmtId="0" fontId="2" fillId="0" borderId="2" xfId="1" applyFont="1" applyBorder="1"/>
    <xf numFmtId="0" fontId="0" fillId="0" borderId="3" xfId="1" applyFont="1" applyBorder="1" applyAlignment="1">
      <alignment horizontal="center" vertical="top"/>
    </xf>
    <xf numFmtId="0" fontId="0" fillId="0" borderId="3" xfId="1" applyFont="1" applyBorder="1"/>
    <xf numFmtId="0" fontId="2" fillId="0" borderId="3" xfId="1" applyFont="1" applyBorder="1"/>
    <xf numFmtId="0" fontId="0" fillId="3" borderId="0" xfId="0" applyFill="1"/>
  </cellXfs>
  <cellStyles count="2">
    <cellStyle name="Normal" xfId="1" xr:uid="{00000000-0005-0000-0000-000000000000}"/>
    <cellStyle name="Обычный" xfId="0" builtinId="0"/>
  </cellStyles>
  <dxfs count="4">
    <dxf>
      <fill>
        <patternFill patternType="solid">
          <fgColor rgb="FFCCFFCC"/>
          <bgColor auto="1"/>
        </patternFill>
      </fill>
    </dxf>
    <dxf>
      <fill>
        <patternFill patternType="solid">
          <fgColor rgb="FFCCFFCC"/>
          <bgColor auto="1"/>
        </patternFill>
      </fill>
    </dxf>
    <dxf>
      <fill>
        <patternFill patternType="solid">
          <fgColor rgb="FFCCFFCC"/>
          <bgColor auto="1"/>
        </patternFill>
      </fill>
    </dxf>
    <dxf>
      <fill>
        <patternFill patternType="solid">
          <fgColor rgb="FFCCFFCC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profiles/groups/&#1056;&#1086;&#1073;&#1086;&#1090;&#1072;%202&#1040;/&#1055;&#1054;&#1057;&#1058;&#1040;&#1042;&#1050;&#1048;%20&#1042;%20&#1059;&#1050;&#1056;/&#1040;&#1052;&#1043;/2026/&#1055;19%20osmanli+mayer+aymeks+fss+remi+NRSP+HP/MAYER%20MYR2026000000008%2008.07.2026/order%2001.06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НА ПРИХІД"/>
      <sheetName val="Sayfa2"/>
      <sheetName val="Sayfa3"/>
    </sheetNames>
    <sheetDataSet>
      <sheetData sheetId="0"/>
      <sheetData sheetId="1">
        <row r="1">
          <cell r="C1" t="str">
            <v>Concord code</v>
          </cell>
        </row>
        <row r="2">
          <cell r="C2" t="str">
            <v>101-U11-011-1 MAYER</v>
          </cell>
        </row>
        <row r="3">
          <cell r="C3" t="str">
            <v>101-U11-101-2 MAYER</v>
          </cell>
        </row>
        <row r="4">
          <cell r="C4" t="str">
            <v>101-U11-108-2 MAYER</v>
          </cell>
        </row>
        <row r="5">
          <cell r="C5" t="str">
            <v>101-U11-108-2 MAYER</v>
          </cell>
        </row>
        <row r="6">
          <cell r="C6" t="str">
            <v>104-403-000-G MAYER</v>
          </cell>
        </row>
        <row r="7">
          <cell r="C7" t="str">
            <v>104-403-001-G MAYER</v>
          </cell>
        </row>
        <row r="8">
          <cell r="C8" t="str">
            <v>104-809-002-0 MAYER</v>
          </cell>
        </row>
        <row r="9">
          <cell r="C9" t="str">
            <v>106-102-000-2 MAYER</v>
          </cell>
        </row>
        <row r="10">
          <cell r="C10" t="str">
            <v>107-201-077-0 MAYER</v>
          </cell>
        </row>
        <row r="11">
          <cell r="C11" t="str">
            <v>107-301-054-0 MAYER</v>
          </cell>
        </row>
        <row r="12">
          <cell r="C12" t="str">
            <v>108-101-014-C MAYER</v>
          </cell>
        </row>
        <row r="13">
          <cell r="C13" t="str">
            <v>108-102-008-S MAYER</v>
          </cell>
        </row>
        <row r="14">
          <cell r="C14" t="str">
            <v>108-105-008-S MAYER</v>
          </cell>
        </row>
        <row r="15">
          <cell r="C15" t="str">
            <v>108-106-002-S MAYER</v>
          </cell>
        </row>
        <row r="16">
          <cell r="C16" t="str">
            <v>108-106-011-S MAYER</v>
          </cell>
        </row>
        <row r="17">
          <cell r="C17" t="str">
            <v>108-106-012-S MAYER</v>
          </cell>
        </row>
        <row r="18">
          <cell r="C18" t="str">
            <v>108-106-013-C MAYER</v>
          </cell>
        </row>
        <row r="19">
          <cell r="C19" t="str">
            <v>108-106-014-C MAYER</v>
          </cell>
        </row>
        <row r="20">
          <cell r="C20" t="str">
            <v>108-107-004-C MAYER</v>
          </cell>
        </row>
        <row r="21">
          <cell r="C21" t="str">
            <v>108-107-008-C MAYER</v>
          </cell>
        </row>
        <row r="22">
          <cell r="C22" t="str">
            <v>40766CNT</v>
          </cell>
        </row>
        <row r="23">
          <cell r="C23" t="str">
            <v>40767CNT</v>
          </cell>
        </row>
        <row r="24">
          <cell r="C24" t="str">
            <v>40768CNT</v>
          </cell>
        </row>
        <row r="25">
          <cell r="C25" t="str">
            <v>40769CNT</v>
          </cell>
        </row>
        <row r="26">
          <cell r="C26" t="str">
            <v>13465CNT</v>
          </cell>
        </row>
        <row r="27">
          <cell r="C27" t="str">
            <v>40770CNT</v>
          </cell>
        </row>
        <row r="28">
          <cell r="C28" t="str">
            <v>40771CNT</v>
          </cell>
        </row>
        <row r="29">
          <cell r="C29" t="str">
            <v>13466CNT</v>
          </cell>
        </row>
        <row r="30">
          <cell r="C30" t="str">
            <v>15038CNT</v>
          </cell>
        </row>
        <row r="31">
          <cell r="C31" t="str">
            <v>40772CNT</v>
          </cell>
        </row>
        <row r="32">
          <cell r="C32" t="str">
            <v>13470CNT</v>
          </cell>
        </row>
        <row r="33">
          <cell r="C33" t="str">
            <v>13460CNT</v>
          </cell>
        </row>
        <row r="34">
          <cell r="C34" t="str">
            <v>13460CNT</v>
          </cell>
        </row>
        <row r="35">
          <cell r="C35" t="str">
            <v>40774CNT</v>
          </cell>
        </row>
        <row r="36">
          <cell r="C36" t="str">
            <v>40775CNT</v>
          </cell>
        </row>
        <row r="37">
          <cell r="C37" t="str">
            <v>40776CNT</v>
          </cell>
        </row>
        <row r="38">
          <cell r="C38" t="str">
            <v>40777CNT</v>
          </cell>
        </row>
        <row r="39">
          <cell r="C39" t="str">
            <v>13484CNT</v>
          </cell>
        </row>
        <row r="40">
          <cell r="C40" t="str">
            <v>15018CNT</v>
          </cell>
        </row>
        <row r="41">
          <cell r="C41" t="str">
            <v>15033CNT</v>
          </cell>
        </row>
        <row r="42">
          <cell r="C42" t="str">
            <v>13483CNT</v>
          </cell>
        </row>
        <row r="43">
          <cell r="C43" t="str">
            <v>13461CNT</v>
          </cell>
        </row>
        <row r="44">
          <cell r="C44" t="str">
            <v>40778CNT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50"/>
  <sheetViews>
    <sheetView tabSelected="1" workbookViewId="0">
      <selection activeCell="C28" sqref="C28:C47"/>
    </sheetView>
  </sheetViews>
  <sheetFormatPr defaultRowHeight="13.8" x14ac:dyDescent="0.3"/>
  <cols>
    <col min="1" max="1" width="11.6640625" customWidth="1"/>
    <col min="2" max="2" width="15.6640625" customWidth="1"/>
    <col min="3" max="3" width="19.109375" bestFit="1" customWidth="1"/>
    <col min="4" max="4" width="39.109375" customWidth="1"/>
    <col min="5" max="7" width="11.33203125" customWidth="1"/>
    <col min="8" max="12" width="11.6640625" customWidth="1"/>
    <col min="13" max="13" width="3.88671875" customWidth="1"/>
  </cols>
  <sheetData>
    <row r="2" spans="1:13" ht="20.399999999999999" x14ac:dyDescent="0.35">
      <c r="A2" s="1" t="s">
        <v>0</v>
      </c>
    </row>
    <row r="4" spans="1:13" ht="27.6" x14ac:dyDescent="0.3">
      <c r="A4" s="3" t="s">
        <v>1</v>
      </c>
      <c r="B4" s="3" t="s">
        <v>2</v>
      </c>
      <c r="C4" s="3"/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12</v>
      </c>
      <c r="M4" s="3" t="s">
        <v>11</v>
      </c>
    </row>
    <row r="5" spans="1:13" x14ac:dyDescent="0.3">
      <c r="A5" s="4" t="s">
        <v>13</v>
      </c>
      <c r="B5" s="2" t="s">
        <v>14</v>
      </c>
      <c r="C5" s="2" t="str">
        <f>VLOOKUP(B5,'[1]НА ПРИХІД'!$C$1:$C$65536,1,0)</f>
        <v>40766CNT</v>
      </c>
      <c r="D5" s="2" t="s">
        <v>15</v>
      </c>
      <c r="E5" s="2">
        <v>12.25</v>
      </c>
      <c r="F5" s="2">
        <v>12</v>
      </c>
      <c r="G5" s="2">
        <v>6.2</v>
      </c>
      <c r="H5" s="2">
        <v>10</v>
      </c>
      <c r="I5" s="2">
        <v>62</v>
      </c>
      <c r="J5" s="2">
        <v>3241.43</v>
      </c>
      <c r="K5" s="2">
        <v>324.14</v>
      </c>
      <c r="L5" s="2">
        <v>713.11</v>
      </c>
      <c r="M5" s="2">
        <v>10</v>
      </c>
    </row>
    <row r="6" spans="1:13" x14ac:dyDescent="0.3">
      <c r="A6" s="4" t="s">
        <v>13</v>
      </c>
      <c r="B6" s="2" t="s">
        <v>16</v>
      </c>
      <c r="C6" s="2" t="str">
        <f>VLOOKUP(B6,'[1]НА ПРИХІД'!$C$1:$C$65536,1,0)</f>
        <v>40767CNT</v>
      </c>
      <c r="D6" s="2" t="s">
        <v>17</v>
      </c>
      <c r="E6" s="2">
        <v>13.78</v>
      </c>
      <c r="F6" s="2">
        <v>13.5</v>
      </c>
      <c r="G6" s="2">
        <v>8</v>
      </c>
      <c r="H6" s="2">
        <v>10</v>
      </c>
      <c r="I6" s="2">
        <v>80</v>
      </c>
      <c r="J6" s="2">
        <v>4169.96</v>
      </c>
      <c r="K6" s="2">
        <v>417</v>
      </c>
      <c r="L6" s="2">
        <v>917.39</v>
      </c>
      <c r="M6" s="2">
        <v>10</v>
      </c>
    </row>
    <row r="7" spans="1:13" x14ac:dyDescent="0.3">
      <c r="A7" s="4" t="s">
        <v>13</v>
      </c>
      <c r="B7" s="2" t="s">
        <v>18</v>
      </c>
      <c r="C7" s="2" t="str">
        <f>VLOOKUP(B7,'[1]НА ПРИХІД'!$C$1:$C$65536,1,0)</f>
        <v>40768CNT</v>
      </c>
      <c r="D7" s="2" t="s">
        <v>19</v>
      </c>
      <c r="E7" s="2">
        <v>13.78</v>
      </c>
      <c r="F7" s="2">
        <v>13.5</v>
      </c>
      <c r="G7" s="2">
        <v>8</v>
      </c>
      <c r="H7" s="2">
        <v>10</v>
      </c>
      <c r="I7" s="2">
        <v>80</v>
      </c>
      <c r="J7" s="2">
        <v>4169.96</v>
      </c>
      <c r="K7" s="2">
        <v>417</v>
      </c>
      <c r="L7" s="2">
        <v>917.39</v>
      </c>
      <c r="M7" s="2">
        <v>10</v>
      </c>
    </row>
    <row r="8" spans="1:13" x14ac:dyDescent="0.3">
      <c r="A8" s="4" t="s">
        <v>13</v>
      </c>
      <c r="B8" s="2" t="s">
        <v>20</v>
      </c>
      <c r="C8" s="2" t="str">
        <f>VLOOKUP(B8,'[1]НА ПРИХІД'!$C$1:$C$65536,1,0)</f>
        <v>40769CNT</v>
      </c>
      <c r="D8" s="2" t="s">
        <v>21</v>
      </c>
      <c r="E8" s="2">
        <v>25.52</v>
      </c>
      <c r="F8" s="2">
        <v>25</v>
      </c>
      <c r="G8" s="2">
        <v>8</v>
      </c>
      <c r="H8" s="2">
        <v>10</v>
      </c>
      <c r="I8" s="2">
        <v>80</v>
      </c>
      <c r="J8" s="2">
        <v>4242.55</v>
      </c>
      <c r="K8" s="2">
        <v>424.26</v>
      </c>
      <c r="L8" s="2">
        <v>933.36</v>
      </c>
      <c r="M8" s="2">
        <v>10</v>
      </c>
    </row>
    <row r="9" spans="1:13" x14ac:dyDescent="0.3">
      <c r="A9" s="4" t="s">
        <v>13</v>
      </c>
      <c r="B9" s="2" t="s">
        <v>22</v>
      </c>
      <c r="C9" s="2" t="str">
        <f>VLOOKUP(B9,'[1]НА ПРИХІД'!$C$1:$C$65536,1,0)</f>
        <v>13465CNT</v>
      </c>
      <c r="D9" s="2" t="s">
        <v>23</v>
      </c>
      <c r="E9" s="2">
        <v>55.128</v>
      </c>
      <c r="F9" s="2">
        <v>54</v>
      </c>
      <c r="G9" s="2">
        <v>10.9</v>
      </c>
      <c r="H9" s="2">
        <v>12</v>
      </c>
      <c r="I9" s="2">
        <v>130.80000000000001</v>
      </c>
      <c r="J9" s="2">
        <v>7019.44</v>
      </c>
      <c r="K9" s="2">
        <v>701.94</v>
      </c>
      <c r="L9" s="2">
        <v>1544.28</v>
      </c>
      <c r="M9" s="2">
        <v>10</v>
      </c>
    </row>
    <row r="10" spans="1:13" x14ac:dyDescent="0.3">
      <c r="A10" s="4" t="s">
        <v>13</v>
      </c>
      <c r="B10" s="2" t="s">
        <v>24</v>
      </c>
      <c r="C10" s="2" t="str">
        <f>VLOOKUP(B10,'[1]НА ПРИХІД'!$C$1:$C$65536,1,0)</f>
        <v>40770CNT</v>
      </c>
      <c r="D10" s="2" t="s">
        <v>25</v>
      </c>
      <c r="E10" s="2">
        <v>55.128</v>
      </c>
      <c r="F10" s="2">
        <v>54</v>
      </c>
      <c r="G10" s="2">
        <v>10.9</v>
      </c>
      <c r="H10" s="2">
        <v>12</v>
      </c>
      <c r="I10" s="2">
        <v>130.80000000000001</v>
      </c>
      <c r="J10" s="2">
        <v>7019.44</v>
      </c>
      <c r="K10" s="2">
        <v>701.94</v>
      </c>
      <c r="L10" s="2">
        <v>1544.28</v>
      </c>
      <c r="M10" s="2">
        <v>10</v>
      </c>
    </row>
    <row r="11" spans="1:13" x14ac:dyDescent="0.3">
      <c r="A11" s="4" t="s">
        <v>13</v>
      </c>
      <c r="B11" s="2" t="s">
        <v>26</v>
      </c>
      <c r="C11" s="2" t="str">
        <f>VLOOKUP(B11,'[1]НА ПРИХІД'!$C$1:$C$65536,1,0)</f>
        <v>40771CNT</v>
      </c>
      <c r="D11" s="2" t="s">
        <v>27</v>
      </c>
      <c r="E11" s="2">
        <v>55.128</v>
      </c>
      <c r="F11" s="2">
        <v>54</v>
      </c>
      <c r="G11" s="2">
        <v>10.9</v>
      </c>
      <c r="H11" s="2">
        <v>12</v>
      </c>
      <c r="I11" s="2">
        <v>130.80000000000001</v>
      </c>
      <c r="J11" s="2">
        <v>7019.44</v>
      </c>
      <c r="K11" s="2">
        <v>701.94</v>
      </c>
      <c r="L11" s="2">
        <v>1544.28</v>
      </c>
      <c r="M11" s="2">
        <v>10</v>
      </c>
    </row>
    <row r="12" spans="1:13" x14ac:dyDescent="0.3">
      <c r="A12" s="4" t="s">
        <v>13</v>
      </c>
      <c r="B12" s="2" t="s">
        <v>28</v>
      </c>
      <c r="C12" s="2" t="str">
        <f>VLOOKUP(B12,'[1]НА ПРИХІД'!$C$1:$C$65536,1,0)</f>
        <v>13466CNT</v>
      </c>
      <c r="D12" s="2" t="s">
        <v>29</v>
      </c>
      <c r="E12" s="2">
        <v>55.128</v>
      </c>
      <c r="F12" s="2">
        <v>54</v>
      </c>
      <c r="G12" s="2">
        <v>10.9</v>
      </c>
      <c r="H12" s="2">
        <v>12</v>
      </c>
      <c r="I12" s="2">
        <v>130.80000000000001</v>
      </c>
      <c r="J12" s="2">
        <v>7019.44</v>
      </c>
      <c r="K12" s="2">
        <v>701.94</v>
      </c>
      <c r="L12" s="2">
        <v>1544.28</v>
      </c>
      <c r="M12" s="2">
        <v>10</v>
      </c>
    </row>
    <row r="13" spans="1:13" x14ac:dyDescent="0.3">
      <c r="A13" s="4" t="s">
        <v>13</v>
      </c>
      <c r="B13" s="2" t="s">
        <v>30</v>
      </c>
      <c r="C13" s="2" t="str">
        <f>VLOOKUP(B13,'[1]НА ПРИХІД'!$C$1:$C$65536,1,0)</f>
        <v>15038CNT</v>
      </c>
      <c r="D13" s="2" t="s">
        <v>31</v>
      </c>
      <c r="E13" s="2">
        <v>55.128</v>
      </c>
      <c r="F13" s="2">
        <v>54</v>
      </c>
      <c r="G13" s="2">
        <v>10.9</v>
      </c>
      <c r="H13" s="2">
        <v>12</v>
      </c>
      <c r="I13" s="2">
        <v>130.80000000000001</v>
      </c>
      <c r="J13" s="2">
        <v>7019.44</v>
      </c>
      <c r="K13" s="2">
        <v>701.94</v>
      </c>
      <c r="L13" s="2">
        <v>1544.28</v>
      </c>
      <c r="M13" s="2">
        <v>10</v>
      </c>
    </row>
    <row r="14" spans="1:13" x14ac:dyDescent="0.3">
      <c r="A14" s="4" t="s">
        <v>13</v>
      </c>
      <c r="B14" s="2" t="s">
        <v>32</v>
      </c>
      <c r="C14" s="2" t="str">
        <f>VLOOKUP(B14,'[1]НА ПРИХІД'!$C$1:$C$65536,1,0)</f>
        <v>40772CNT</v>
      </c>
      <c r="D14" s="2" t="s">
        <v>33</v>
      </c>
      <c r="E14" s="2">
        <v>55.128</v>
      </c>
      <c r="F14" s="2">
        <v>54</v>
      </c>
      <c r="G14" s="2">
        <v>10.9</v>
      </c>
      <c r="H14" s="2">
        <v>12</v>
      </c>
      <c r="I14" s="2">
        <v>130.80000000000001</v>
      </c>
      <c r="J14" s="2">
        <v>7019.44</v>
      </c>
      <c r="K14" s="2">
        <v>701.94</v>
      </c>
      <c r="L14" s="2">
        <v>1544.28</v>
      </c>
      <c r="M14" s="2">
        <v>10</v>
      </c>
    </row>
    <row r="15" spans="1:13" x14ac:dyDescent="0.3">
      <c r="A15" s="4" t="s">
        <v>13</v>
      </c>
      <c r="B15" s="2" t="s">
        <v>34</v>
      </c>
      <c r="C15" s="2" t="str">
        <f>VLOOKUP(B15,'[1]НА ПРИХІД'!$C$1:$C$65536,1,0)</f>
        <v>13470CNT</v>
      </c>
      <c r="D15" s="2" t="s">
        <v>35</v>
      </c>
      <c r="E15" s="2">
        <v>55.128</v>
      </c>
      <c r="F15" s="2">
        <v>54</v>
      </c>
      <c r="G15" s="2">
        <v>10.9</v>
      </c>
      <c r="H15" s="2">
        <v>12</v>
      </c>
      <c r="I15" s="2">
        <v>130.80000000000001</v>
      </c>
      <c r="J15" s="2">
        <v>7019.44</v>
      </c>
      <c r="K15" s="2">
        <v>701.94</v>
      </c>
      <c r="L15" s="2">
        <v>1544.28</v>
      </c>
      <c r="M15" s="2">
        <v>10</v>
      </c>
    </row>
    <row r="16" spans="1:13" x14ac:dyDescent="0.3">
      <c r="A16" s="4" t="s">
        <v>13</v>
      </c>
      <c r="B16" s="2" t="s">
        <v>36</v>
      </c>
      <c r="C16" s="2" t="str">
        <f>VLOOKUP(B16,'[1]НА ПРИХІД'!$C$1:$C$65536,1,0)</f>
        <v>13460CNT</v>
      </c>
      <c r="D16" s="2" t="s">
        <v>37</v>
      </c>
      <c r="E16" s="2">
        <v>220.512</v>
      </c>
      <c r="F16" s="2">
        <v>216</v>
      </c>
      <c r="G16" s="2">
        <v>10.9</v>
      </c>
      <c r="H16" s="2">
        <v>48</v>
      </c>
      <c r="I16" s="2">
        <v>523.20000000000005</v>
      </c>
      <c r="J16" s="2">
        <v>28077.77</v>
      </c>
      <c r="K16" s="2">
        <v>2807.78</v>
      </c>
      <c r="L16" s="2">
        <v>6177.11</v>
      </c>
      <c r="M16" s="2">
        <v>10</v>
      </c>
    </row>
    <row r="17" spans="1:13" x14ac:dyDescent="0.3">
      <c r="A17" s="4" t="s">
        <v>13</v>
      </c>
      <c r="B17" s="2" t="s">
        <v>36</v>
      </c>
      <c r="C17" s="2" t="str">
        <f>VLOOKUP(B17,'[1]НА ПРИХІД'!$C$1:$C$65536,1,0)</f>
        <v>13460CNT</v>
      </c>
      <c r="D17" s="2" t="s">
        <v>38</v>
      </c>
      <c r="E17" s="2">
        <v>55.128</v>
      </c>
      <c r="F17" s="2">
        <v>54</v>
      </c>
      <c r="G17" s="2">
        <v>10.9</v>
      </c>
      <c r="H17" s="2">
        <v>12</v>
      </c>
      <c r="I17" s="2">
        <v>130.80000000000001</v>
      </c>
      <c r="J17" s="2">
        <v>7019.44</v>
      </c>
      <c r="K17" s="2">
        <v>701.94</v>
      </c>
      <c r="L17" s="2">
        <v>1544.28</v>
      </c>
      <c r="M17" s="2">
        <v>10</v>
      </c>
    </row>
    <row r="18" spans="1:13" x14ac:dyDescent="0.3">
      <c r="A18" s="4" t="s">
        <v>13</v>
      </c>
      <c r="B18" s="2" t="s">
        <v>39</v>
      </c>
      <c r="C18" s="2" t="str">
        <f>VLOOKUP(B18,'[1]НА ПРИХІД'!$C$1:$C$65536,1,0)</f>
        <v>40774CNT</v>
      </c>
      <c r="D18" s="2" t="s">
        <v>40</v>
      </c>
      <c r="E18" s="2">
        <v>55.128</v>
      </c>
      <c r="F18" s="2">
        <v>54</v>
      </c>
      <c r="G18" s="2">
        <v>10.9</v>
      </c>
      <c r="H18" s="2">
        <v>12</v>
      </c>
      <c r="I18" s="2">
        <v>130.80000000000001</v>
      </c>
      <c r="J18" s="2">
        <v>7019.44</v>
      </c>
      <c r="K18" s="2">
        <v>701.94</v>
      </c>
      <c r="L18" s="2">
        <v>1544.28</v>
      </c>
      <c r="M18" s="2">
        <v>10</v>
      </c>
    </row>
    <row r="19" spans="1:13" x14ac:dyDescent="0.3">
      <c r="A19" s="6" t="s">
        <v>13</v>
      </c>
      <c r="B19" s="7" t="s">
        <v>41</v>
      </c>
      <c r="C19" s="2" t="str">
        <f>VLOOKUP(B19,'[1]НА ПРИХІД'!$C$1:$C$65536,1,0)</f>
        <v>40775CNT</v>
      </c>
      <c r="D19" s="7" t="s">
        <v>42</v>
      </c>
      <c r="E19" s="7">
        <v>55.128</v>
      </c>
      <c r="F19" s="7">
        <v>54</v>
      </c>
      <c r="G19" s="7">
        <v>12</v>
      </c>
      <c r="H19" s="7">
        <v>12</v>
      </c>
      <c r="I19" s="7">
        <v>144</v>
      </c>
      <c r="J19" s="7">
        <v>7693.43</v>
      </c>
      <c r="K19" s="7">
        <v>769.34</v>
      </c>
      <c r="L19" s="7">
        <v>1692.55</v>
      </c>
      <c r="M19" s="2">
        <v>10</v>
      </c>
    </row>
    <row r="20" spans="1:13" x14ac:dyDescent="0.3">
      <c r="A20" s="4" t="s">
        <v>13</v>
      </c>
      <c r="B20" s="2" t="s">
        <v>43</v>
      </c>
      <c r="C20" s="2" t="str">
        <f>VLOOKUP(B20,'[1]НА ПРИХІД'!$C$1:$C$65536,1,0)</f>
        <v>40776CNT</v>
      </c>
      <c r="D20" s="2" t="s">
        <v>44</v>
      </c>
      <c r="E20" s="2">
        <v>55.128</v>
      </c>
      <c r="F20" s="2">
        <v>54</v>
      </c>
      <c r="G20" s="2">
        <v>12</v>
      </c>
      <c r="H20" s="2">
        <v>12</v>
      </c>
      <c r="I20" s="2">
        <v>144</v>
      </c>
      <c r="J20" s="2">
        <v>7693.43</v>
      </c>
      <c r="K20" s="2">
        <v>769.34</v>
      </c>
      <c r="L20" s="2">
        <v>1692.55</v>
      </c>
      <c r="M20" s="2">
        <v>10</v>
      </c>
    </row>
    <row r="21" spans="1:13" x14ac:dyDescent="0.3">
      <c r="A21" s="6" t="s">
        <v>13</v>
      </c>
      <c r="B21" s="7" t="s">
        <v>45</v>
      </c>
      <c r="C21" s="2" t="str">
        <f>VLOOKUP(B21,'[1]НА ПРИХІД'!$C$1:$C$65536,1,0)</f>
        <v>40777CNT</v>
      </c>
      <c r="D21" s="7" t="s">
        <v>46</v>
      </c>
      <c r="E21" s="7">
        <v>55.128</v>
      </c>
      <c r="F21" s="7">
        <v>54</v>
      </c>
      <c r="G21" s="7">
        <v>12</v>
      </c>
      <c r="H21" s="7">
        <v>12</v>
      </c>
      <c r="I21" s="7">
        <v>144</v>
      </c>
      <c r="J21" s="7">
        <v>7693.43</v>
      </c>
      <c r="K21" s="7">
        <v>769.34</v>
      </c>
      <c r="L21" s="7">
        <v>1692.55</v>
      </c>
      <c r="M21" s="2">
        <v>10</v>
      </c>
    </row>
    <row r="22" spans="1:13" x14ac:dyDescent="0.3">
      <c r="A22" s="4" t="s">
        <v>13</v>
      </c>
      <c r="B22" s="2" t="s">
        <v>47</v>
      </c>
      <c r="C22" s="2" t="str">
        <f>VLOOKUP(B22,'[1]НА ПРИХІД'!$C$1:$C$65536,1,0)</f>
        <v>13484CNT</v>
      </c>
      <c r="D22" s="2" t="s">
        <v>48</v>
      </c>
      <c r="E22" s="2">
        <v>62.78</v>
      </c>
      <c r="F22" s="2">
        <v>61.5</v>
      </c>
      <c r="G22" s="2">
        <v>17.899999999999999</v>
      </c>
      <c r="H22" s="2">
        <v>10</v>
      </c>
      <c r="I22" s="2">
        <v>179</v>
      </c>
      <c r="J22" s="2">
        <v>9527.82</v>
      </c>
      <c r="K22" s="2">
        <v>952.78</v>
      </c>
      <c r="L22" s="2">
        <v>2096.12</v>
      </c>
      <c r="M22" s="2">
        <v>10</v>
      </c>
    </row>
    <row r="23" spans="1:13" x14ac:dyDescent="0.3">
      <c r="A23" s="6" t="s">
        <v>13</v>
      </c>
      <c r="B23" s="7" t="s">
        <v>49</v>
      </c>
      <c r="C23" s="2" t="str">
        <f>VLOOKUP(B23,'[1]НА ПРИХІД'!$C$1:$C$65536,1,0)</f>
        <v>15018CNT</v>
      </c>
      <c r="D23" s="7" t="s">
        <v>50</v>
      </c>
      <c r="E23" s="7">
        <v>62.78</v>
      </c>
      <c r="F23" s="7">
        <v>61.5</v>
      </c>
      <c r="G23" s="7">
        <v>17.899999999999999</v>
      </c>
      <c r="H23" s="7">
        <v>10</v>
      </c>
      <c r="I23" s="7">
        <v>179</v>
      </c>
      <c r="J23" s="7">
        <v>9527.82</v>
      </c>
      <c r="K23" s="7">
        <v>952.78</v>
      </c>
      <c r="L23" s="7">
        <v>2096.12</v>
      </c>
      <c r="M23" s="2">
        <v>10</v>
      </c>
    </row>
    <row r="24" spans="1:13" x14ac:dyDescent="0.3">
      <c r="A24" s="4" t="s">
        <v>13</v>
      </c>
      <c r="B24" s="2" t="s">
        <v>51</v>
      </c>
      <c r="C24" s="2" t="str">
        <f>VLOOKUP(B24,'[1]НА ПРИХІД'!$C$1:$C$65536,1,0)</f>
        <v>15033CNT</v>
      </c>
      <c r="D24" s="2" t="s">
        <v>52</v>
      </c>
      <c r="E24" s="2">
        <v>62.78</v>
      </c>
      <c r="F24" s="2">
        <v>61.5</v>
      </c>
      <c r="G24" s="2">
        <v>17.899999999999999</v>
      </c>
      <c r="H24" s="2">
        <v>10</v>
      </c>
      <c r="I24" s="2">
        <v>179</v>
      </c>
      <c r="J24" s="2">
        <v>9527.82</v>
      </c>
      <c r="K24" s="2">
        <v>952.78</v>
      </c>
      <c r="L24" s="2">
        <v>2096.12</v>
      </c>
      <c r="M24" s="2">
        <v>10</v>
      </c>
    </row>
    <row r="25" spans="1:13" x14ac:dyDescent="0.3">
      <c r="A25" s="4" t="s">
        <v>13</v>
      </c>
      <c r="B25" s="2" t="s">
        <v>53</v>
      </c>
      <c r="C25" s="2" t="str">
        <f>VLOOKUP(B25,'[1]НА ПРИХІД'!$C$1:$C$65536,1,0)</f>
        <v>13483CNT</v>
      </c>
      <c r="D25" s="2" t="s">
        <v>54</v>
      </c>
      <c r="E25" s="2">
        <v>219.73</v>
      </c>
      <c r="F25" s="2">
        <v>215.25</v>
      </c>
      <c r="G25" s="2">
        <v>17.899999999999999</v>
      </c>
      <c r="H25" s="2">
        <v>35</v>
      </c>
      <c r="I25" s="2">
        <v>626.5</v>
      </c>
      <c r="J25" s="5">
        <f>SUM(33347.38,0.03)</f>
        <v>33347.409999999996</v>
      </c>
      <c r="K25" s="5">
        <f>SUM(3334.74,0.04)</f>
        <v>3334.7799999999997</v>
      </c>
      <c r="L25" s="5">
        <f>SUM(7336.42,0.01)</f>
        <v>7336.43</v>
      </c>
      <c r="M25" s="2">
        <v>10</v>
      </c>
    </row>
    <row r="26" spans="1:13" x14ac:dyDescent="0.3">
      <c r="A26" s="4" t="s">
        <v>13</v>
      </c>
      <c r="B26" s="2" t="s">
        <v>55</v>
      </c>
      <c r="C26" s="2" t="str">
        <f>VLOOKUP(B26,'[1]НА ПРИХІД'!$C$1:$C$65536,1,0)</f>
        <v>13461CNT</v>
      </c>
      <c r="D26" s="2" t="s">
        <v>56</v>
      </c>
      <c r="E26" s="2">
        <v>64.31</v>
      </c>
      <c r="F26" s="2">
        <v>63</v>
      </c>
      <c r="G26" s="2">
        <v>17.899999999999999</v>
      </c>
      <c r="H26" s="2">
        <v>10</v>
      </c>
      <c r="I26" s="2">
        <v>179</v>
      </c>
      <c r="J26" s="2">
        <v>9537.2800000000007</v>
      </c>
      <c r="K26" s="2">
        <v>953.73</v>
      </c>
      <c r="L26" s="2">
        <v>2098.1999999999998</v>
      </c>
      <c r="M26" s="2">
        <v>10</v>
      </c>
    </row>
    <row r="27" spans="1:13" x14ac:dyDescent="0.3">
      <c r="A27" s="4" t="s">
        <v>13</v>
      </c>
      <c r="B27" s="2" t="s">
        <v>57</v>
      </c>
      <c r="C27" s="2" t="str">
        <f>VLOOKUP(B27,'[1]НА ПРИХІД'!$C$1:$C$65536,1,0)</f>
        <v>40778CNT</v>
      </c>
      <c r="D27" s="2" t="s">
        <v>58</v>
      </c>
      <c r="E27" s="2">
        <v>64.31</v>
      </c>
      <c r="F27" s="2">
        <v>63</v>
      </c>
      <c r="G27" s="2">
        <v>17.899999999999999</v>
      </c>
      <c r="H27" s="2">
        <v>10</v>
      </c>
      <c r="I27" s="2">
        <v>179</v>
      </c>
      <c r="J27" s="2">
        <v>9537.2800000000007</v>
      </c>
      <c r="K27" s="2">
        <v>953.73</v>
      </c>
      <c r="L27" s="2">
        <v>2098.1999999999998</v>
      </c>
      <c r="M27" s="2">
        <v>10</v>
      </c>
    </row>
    <row r="28" spans="1:13" x14ac:dyDescent="0.3">
      <c r="A28" s="4" t="s">
        <v>59</v>
      </c>
      <c r="B28" s="2" t="s">
        <v>60</v>
      </c>
      <c r="C28" s="2" t="s">
        <v>106</v>
      </c>
      <c r="D28" s="2" t="s">
        <v>61</v>
      </c>
      <c r="E28" s="2">
        <v>2.04</v>
      </c>
      <c r="F28" s="2">
        <v>2</v>
      </c>
      <c r="G28" s="2">
        <v>3.5</v>
      </c>
      <c r="H28" s="2">
        <v>20</v>
      </c>
      <c r="I28" s="2">
        <v>70</v>
      </c>
      <c r="J28" s="2">
        <v>3586.78</v>
      </c>
      <c r="K28" s="2">
        <v>233.14</v>
      </c>
      <c r="L28" s="2">
        <v>763.98</v>
      </c>
      <c r="M28" s="2">
        <v>6.5</v>
      </c>
    </row>
    <row r="29" spans="1:13" x14ac:dyDescent="0.3">
      <c r="A29" s="6" t="s">
        <v>62</v>
      </c>
      <c r="B29" s="7" t="s">
        <v>63</v>
      </c>
      <c r="C29" s="2" t="s">
        <v>107</v>
      </c>
      <c r="D29" s="7" t="s">
        <v>64</v>
      </c>
      <c r="E29" s="7">
        <v>61.26</v>
      </c>
      <c r="F29" s="7">
        <v>60</v>
      </c>
      <c r="G29" s="7">
        <v>45.5</v>
      </c>
      <c r="H29" s="7">
        <v>20</v>
      </c>
      <c r="I29" s="7">
        <v>910</v>
      </c>
      <c r="J29" s="7">
        <v>46842.92</v>
      </c>
      <c r="K29" s="7">
        <v>2342.15</v>
      </c>
      <c r="L29" s="7">
        <v>9837.01</v>
      </c>
      <c r="M29" s="2">
        <v>5</v>
      </c>
    </row>
    <row r="30" spans="1:13" x14ac:dyDescent="0.3">
      <c r="A30" s="4" t="s">
        <v>65</v>
      </c>
      <c r="B30" s="2" t="s">
        <v>66</v>
      </c>
      <c r="C30" s="2" t="s">
        <v>108</v>
      </c>
      <c r="D30" s="2" t="s">
        <v>67</v>
      </c>
      <c r="E30" s="2">
        <v>11.023999999999999</v>
      </c>
      <c r="F30" s="2">
        <v>10.8</v>
      </c>
      <c r="G30" s="2">
        <v>14</v>
      </c>
      <c r="H30" s="2">
        <v>8</v>
      </c>
      <c r="I30" s="2">
        <v>112</v>
      </c>
      <c r="J30" s="2">
        <v>5786.83</v>
      </c>
      <c r="K30" s="2">
        <v>578.67999999999995</v>
      </c>
      <c r="L30" s="2">
        <v>1273.0999999999999</v>
      </c>
      <c r="M30" s="2">
        <v>10</v>
      </c>
    </row>
    <row r="31" spans="1:13" x14ac:dyDescent="0.3">
      <c r="A31" s="6" t="s">
        <v>65</v>
      </c>
      <c r="B31" s="7" t="s">
        <v>68</v>
      </c>
      <c r="C31" s="2" t="s">
        <v>109</v>
      </c>
      <c r="D31" s="7" t="s">
        <v>69</v>
      </c>
      <c r="E31" s="7">
        <v>13.77</v>
      </c>
      <c r="F31" s="7">
        <v>13.5</v>
      </c>
      <c r="G31" s="7">
        <v>13</v>
      </c>
      <c r="H31" s="7">
        <v>10</v>
      </c>
      <c r="I31" s="7">
        <v>130</v>
      </c>
      <c r="J31" s="7">
        <v>6722.88</v>
      </c>
      <c r="K31" s="7">
        <v>672.29</v>
      </c>
      <c r="L31" s="7">
        <v>1479.03</v>
      </c>
      <c r="M31" s="2">
        <v>10</v>
      </c>
    </row>
    <row r="32" spans="1:13" x14ac:dyDescent="0.3">
      <c r="A32" s="4" t="s">
        <v>65</v>
      </c>
      <c r="B32" s="2" t="s">
        <v>70</v>
      </c>
      <c r="C32" s="2" t="s">
        <v>110</v>
      </c>
      <c r="D32" s="2" t="s">
        <v>71</v>
      </c>
      <c r="E32" s="2">
        <v>16.664000000000001</v>
      </c>
      <c r="F32" s="2">
        <v>16.32</v>
      </c>
      <c r="G32" s="2">
        <v>22</v>
      </c>
      <c r="H32" s="2">
        <v>8</v>
      </c>
      <c r="I32" s="2">
        <v>176</v>
      </c>
      <c r="J32" s="5">
        <f>SUM(9089.51,-0.01)</f>
        <v>9089.5</v>
      </c>
      <c r="K32" s="5">
        <f>SUM(908.95,-0.01)</f>
        <v>908.94</v>
      </c>
      <c r="L32" s="2">
        <v>1999.69</v>
      </c>
      <c r="M32" s="2">
        <v>10</v>
      </c>
    </row>
    <row r="33" spans="1:13" x14ac:dyDescent="0.3">
      <c r="A33" s="4" t="s">
        <v>65</v>
      </c>
      <c r="B33" s="2" t="s">
        <v>72</v>
      </c>
      <c r="C33" s="2" t="s">
        <v>111</v>
      </c>
      <c r="D33" s="2" t="s">
        <v>73</v>
      </c>
      <c r="E33" s="2">
        <v>11.432</v>
      </c>
      <c r="F33" s="2">
        <v>11.2</v>
      </c>
      <c r="G33" s="2">
        <v>13</v>
      </c>
      <c r="H33" s="2">
        <v>8</v>
      </c>
      <c r="I33" s="2">
        <v>104</v>
      </c>
      <c r="J33" s="2">
        <v>5380.87</v>
      </c>
      <c r="K33" s="2">
        <v>538.09</v>
      </c>
      <c r="L33" s="2">
        <v>1183.79</v>
      </c>
      <c r="M33" s="2">
        <v>10</v>
      </c>
    </row>
    <row r="34" spans="1:13" x14ac:dyDescent="0.3">
      <c r="A34" s="6" t="s">
        <v>65</v>
      </c>
      <c r="B34" s="7" t="s">
        <v>74</v>
      </c>
      <c r="C34" s="2" t="s">
        <v>112</v>
      </c>
      <c r="D34" s="7" t="s">
        <v>75</v>
      </c>
      <c r="E34" s="7">
        <v>11.023999999999999</v>
      </c>
      <c r="F34" s="7">
        <v>10.8</v>
      </c>
      <c r="G34" s="7">
        <v>13</v>
      </c>
      <c r="H34" s="7">
        <v>8</v>
      </c>
      <c r="I34" s="7">
        <v>104</v>
      </c>
      <c r="J34" s="7">
        <v>5378.35</v>
      </c>
      <c r="K34" s="7">
        <v>537.84</v>
      </c>
      <c r="L34" s="7">
        <v>1183.24</v>
      </c>
      <c r="M34" s="2">
        <v>10</v>
      </c>
    </row>
    <row r="35" spans="1:13" x14ac:dyDescent="0.3">
      <c r="A35" s="4" t="s">
        <v>76</v>
      </c>
      <c r="B35" s="2" t="s">
        <v>77</v>
      </c>
      <c r="C35" s="2" t="s">
        <v>113</v>
      </c>
      <c r="D35" s="2" t="s">
        <v>78</v>
      </c>
      <c r="E35" s="2">
        <v>17.760000000000002</v>
      </c>
      <c r="F35" s="2">
        <v>17.399999999999999</v>
      </c>
      <c r="G35" s="2">
        <v>10.6</v>
      </c>
      <c r="H35" s="2">
        <v>30</v>
      </c>
      <c r="I35" s="2">
        <v>318</v>
      </c>
      <c r="J35" s="2">
        <v>16346.73</v>
      </c>
      <c r="K35" s="2">
        <v>1634.67</v>
      </c>
      <c r="L35" s="2">
        <v>3596.28</v>
      </c>
      <c r="M35" s="2">
        <v>10</v>
      </c>
    </row>
    <row r="36" spans="1:13" x14ac:dyDescent="0.3">
      <c r="A36" s="4" t="s">
        <v>79</v>
      </c>
      <c r="B36" s="2" t="s">
        <v>80</v>
      </c>
      <c r="C36" s="2" t="s">
        <v>114</v>
      </c>
      <c r="D36" s="2" t="s">
        <v>81</v>
      </c>
      <c r="E36" s="2">
        <v>19.399999999999999</v>
      </c>
      <c r="F36" s="2">
        <v>19</v>
      </c>
      <c r="G36" s="2">
        <v>65</v>
      </c>
      <c r="H36" s="2">
        <v>10</v>
      </c>
      <c r="I36" s="2">
        <v>650</v>
      </c>
      <c r="J36" s="5">
        <f>SUM(33308.63,-0.01)</f>
        <v>33308.619999999995</v>
      </c>
      <c r="K36" s="2">
        <v>3330.86</v>
      </c>
      <c r="L36" s="2">
        <v>7327.9</v>
      </c>
      <c r="M36" s="2">
        <v>10</v>
      </c>
    </row>
    <row r="37" spans="1:13" x14ac:dyDescent="0.3">
      <c r="A37" s="4" t="s">
        <v>79</v>
      </c>
      <c r="B37" s="2" t="s">
        <v>82</v>
      </c>
      <c r="C37" s="2" t="s">
        <v>115</v>
      </c>
      <c r="D37" s="2" t="s">
        <v>83</v>
      </c>
      <c r="E37" s="2">
        <v>11.23</v>
      </c>
      <c r="F37" s="2">
        <v>11</v>
      </c>
      <c r="G37" s="2">
        <v>30</v>
      </c>
      <c r="H37" s="2">
        <v>10</v>
      </c>
      <c r="I37" s="2">
        <v>300</v>
      </c>
      <c r="J37" s="2">
        <v>15387.29</v>
      </c>
      <c r="K37" s="2">
        <v>1538.73</v>
      </c>
      <c r="L37" s="2">
        <v>3385.2</v>
      </c>
      <c r="M37" s="2">
        <v>10</v>
      </c>
    </row>
    <row r="38" spans="1:13" x14ac:dyDescent="0.3">
      <c r="A38" s="4" t="s">
        <v>84</v>
      </c>
      <c r="B38" s="2" t="s">
        <v>85</v>
      </c>
      <c r="C38" s="2" t="s">
        <v>116</v>
      </c>
      <c r="D38" s="2" t="s">
        <v>86</v>
      </c>
      <c r="E38" s="2">
        <v>22.46</v>
      </c>
      <c r="F38" s="2">
        <v>22</v>
      </c>
      <c r="G38" s="2">
        <v>7.5</v>
      </c>
      <c r="H38" s="2">
        <v>20</v>
      </c>
      <c r="I38" s="2">
        <v>150</v>
      </c>
      <c r="J38" s="2">
        <v>7797.8</v>
      </c>
      <c r="K38" s="2">
        <v>389.89</v>
      </c>
      <c r="L38" s="2">
        <v>1637.54</v>
      </c>
      <c r="M38" s="2">
        <v>5</v>
      </c>
    </row>
    <row r="39" spans="1:13" x14ac:dyDescent="0.3">
      <c r="A39" s="6" t="s">
        <v>84</v>
      </c>
      <c r="B39" s="7" t="s">
        <v>87</v>
      </c>
      <c r="C39" s="2" t="s">
        <v>117</v>
      </c>
      <c r="D39" s="7" t="s">
        <v>88</v>
      </c>
      <c r="E39" s="7">
        <v>16.844999999999999</v>
      </c>
      <c r="F39" s="7">
        <v>16.5</v>
      </c>
      <c r="G39" s="7">
        <v>10.5</v>
      </c>
      <c r="H39" s="7">
        <v>15</v>
      </c>
      <c r="I39" s="7">
        <v>157.5</v>
      </c>
      <c r="J39" s="8">
        <f>SUM(8146.02,0.01)</f>
        <v>8146.0300000000007</v>
      </c>
      <c r="K39" s="8">
        <f>SUM(407.3,0.01)</f>
        <v>407.31</v>
      </c>
      <c r="L39" s="8">
        <f>SUM(1710.66,0.01)</f>
        <v>1710.67</v>
      </c>
      <c r="M39" s="2">
        <v>5</v>
      </c>
    </row>
    <row r="40" spans="1:13" x14ac:dyDescent="0.3">
      <c r="A40" s="4" t="s">
        <v>84</v>
      </c>
      <c r="B40" s="2" t="s">
        <v>89</v>
      </c>
      <c r="C40" s="2" t="s">
        <v>118</v>
      </c>
      <c r="D40" s="2" t="s">
        <v>90</v>
      </c>
      <c r="E40" s="2">
        <v>16.844999999999999</v>
      </c>
      <c r="F40" s="2">
        <v>16.5</v>
      </c>
      <c r="G40" s="2">
        <v>10.5</v>
      </c>
      <c r="H40" s="2">
        <v>15</v>
      </c>
      <c r="I40" s="2">
        <v>157.5</v>
      </c>
      <c r="J40" s="2">
        <v>8146.02</v>
      </c>
      <c r="K40" s="2">
        <v>407.3</v>
      </c>
      <c r="L40" s="2">
        <v>1710.66</v>
      </c>
      <c r="M40" s="2">
        <v>5</v>
      </c>
    </row>
    <row r="41" spans="1:13" x14ac:dyDescent="0.3">
      <c r="A41" s="4" t="s">
        <v>84</v>
      </c>
      <c r="B41" s="2" t="s">
        <v>89</v>
      </c>
      <c r="C41" s="2" t="s">
        <v>118</v>
      </c>
      <c r="D41" s="2" t="s">
        <v>91</v>
      </c>
      <c r="E41" s="2">
        <v>4.492</v>
      </c>
      <c r="F41" s="2">
        <v>4.4000000000000004</v>
      </c>
      <c r="G41" s="2">
        <v>10.5</v>
      </c>
      <c r="H41" s="2">
        <v>4</v>
      </c>
      <c r="I41" s="2">
        <v>42</v>
      </c>
      <c r="J41" s="2">
        <v>2172.27</v>
      </c>
      <c r="K41" s="2">
        <v>108.61</v>
      </c>
      <c r="L41" s="2">
        <v>456.18</v>
      </c>
      <c r="M41" s="2">
        <v>5</v>
      </c>
    </row>
    <row r="42" spans="1:13" x14ac:dyDescent="0.3">
      <c r="A42" s="4" t="s">
        <v>92</v>
      </c>
      <c r="B42" s="2" t="s">
        <v>93</v>
      </c>
      <c r="C42" s="2" t="s">
        <v>119</v>
      </c>
      <c r="D42" s="2" t="s">
        <v>94</v>
      </c>
      <c r="E42" s="2">
        <v>21.231999999999999</v>
      </c>
      <c r="F42" s="2">
        <v>20.8</v>
      </c>
      <c r="G42" s="2">
        <v>22.9</v>
      </c>
      <c r="H42" s="2">
        <v>8</v>
      </c>
      <c r="I42" s="2">
        <v>183.2</v>
      </c>
      <c r="J42" s="2">
        <v>9485.3799999999992</v>
      </c>
      <c r="K42" s="2">
        <v>474.27</v>
      </c>
      <c r="L42" s="2">
        <v>1991.93</v>
      </c>
      <c r="M42" s="2">
        <v>5</v>
      </c>
    </row>
    <row r="43" spans="1:13" x14ac:dyDescent="0.3">
      <c r="A43" s="4" t="s">
        <v>92</v>
      </c>
      <c r="B43" s="2" t="s">
        <v>95</v>
      </c>
      <c r="C43" s="2" t="s">
        <v>120</v>
      </c>
      <c r="D43" s="2" t="s">
        <v>96</v>
      </c>
      <c r="E43" s="2">
        <v>32.664000000000001</v>
      </c>
      <c r="F43" s="2">
        <v>32</v>
      </c>
      <c r="G43" s="2">
        <v>31.4</v>
      </c>
      <c r="H43" s="2">
        <v>8</v>
      </c>
      <c r="I43" s="2">
        <v>251.2</v>
      </c>
      <c r="J43" s="2">
        <v>13028.11</v>
      </c>
      <c r="K43" s="2">
        <v>651.41</v>
      </c>
      <c r="L43" s="2">
        <v>2735.9</v>
      </c>
      <c r="M43" s="2">
        <v>5</v>
      </c>
    </row>
    <row r="44" spans="1:13" x14ac:dyDescent="0.3">
      <c r="A44" s="4" t="s">
        <v>92</v>
      </c>
      <c r="B44" s="2" t="s">
        <v>97</v>
      </c>
      <c r="C44" s="2" t="s">
        <v>121</v>
      </c>
      <c r="D44" s="2" t="s">
        <v>98</v>
      </c>
      <c r="E44" s="2">
        <v>18.783999999999999</v>
      </c>
      <c r="F44" s="2">
        <v>18.399999999999999</v>
      </c>
      <c r="G44" s="2">
        <v>22.5</v>
      </c>
      <c r="H44" s="2">
        <v>8</v>
      </c>
      <c r="I44" s="2">
        <v>180</v>
      </c>
      <c r="J44" s="2">
        <v>9306.85</v>
      </c>
      <c r="K44" s="2">
        <v>465.34</v>
      </c>
      <c r="L44" s="2">
        <v>1954.44</v>
      </c>
      <c r="M44" s="2">
        <v>5</v>
      </c>
    </row>
    <row r="45" spans="1:13" x14ac:dyDescent="0.3">
      <c r="A45" s="6" t="s">
        <v>92</v>
      </c>
      <c r="B45" s="7" t="s">
        <v>99</v>
      </c>
      <c r="C45" s="2" t="s">
        <v>122</v>
      </c>
      <c r="D45" s="7" t="s">
        <v>100</v>
      </c>
      <c r="E45" s="7">
        <v>31.032</v>
      </c>
      <c r="F45" s="7">
        <v>30.4</v>
      </c>
      <c r="G45" s="7">
        <v>28</v>
      </c>
      <c r="H45" s="7">
        <v>8</v>
      </c>
      <c r="I45" s="7">
        <v>224</v>
      </c>
      <c r="J45" s="7">
        <v>11629.2</v>
      </c>
      <c r="K45" s="7">
        <v>581.46</v>
      </c>
      <c r="L45" s="7">
        <v>2442.13</v>
      </c>
      <c r="M45" s="2">
        <v>5</v>
      </c>
    </row>
    <row r="46" spans="1:13" x14ac:dyDescent="0.3">
      <c r="A46" s="4" t="s">
        <v>92</v>
      </c>
      <c r="B46" s="2" t="s">
        <v>101</v>
      </c>
      <c r="C46" s="2" t="s">
        <v>123</v>
      </c>
      <c r="D46" s="2" t="s">
        <v>102</v>
      </c>
      <c r="E46" s="2">
        <v>21.231999999999999</v>
      </c>
      <c r="F46" s="2">
        <v>20.8</v>
      </c>
      <c r="G46" s="2">
        <v>28</v>
      </c>
      <c r="H46" s="2">
        <v>8</v>
      </c>
      <c r="I46" s="2">
        <v>224</v>
      </c>
      <c r="J46" s="2">
        <v>11568.61</v>
      </c>
      <c r="K46" s="2">
        <v>578.42999999999995</v>
      </c>
      <c r="L46" s="2">
        <v>2429.41</v>
      </c>
      <c r="M46" s="2">
        <v>5</v>
      </c>
    </row>
    <row r="47" spans="1:13" x14ac:dyDescent="0.3">
      <c r="A47" s="6" t="s">
        <v>103</v>
      </c>
      <c r="B47" s="7" t="s">
        <v>104</v>
      </c>
      <c r="C47" s="2" t="s">
        <v>124</v>
      </c>
      <c r="D47" s="7" t="s">
        <v>105</v>
      </c>
      <c r="E47" s="7">
        <v>15.311999999999999</v>
      </c>
      <c r="F47" s="7">
        <v>15</v>
      </c>
      <c r="G47" s="7">
        <v>48</v>
      </c>
      <c r="H47" s="7">
        <v>6</v>
      </c>
      <c r="I47" s="7">
        <v>288</v>
      </c>
      <c r="J47" s="7">
        <v>14799.81</v>
      </c>
      <c r="K47" s="7">
        <v>1479.98</v>
      </c>
      <c r="L47" s="7">
        <v>3255.96</v>
      </c>
      <c r="M47" s="7">
        <v>10</v>
      </c>
    </row>
    <row r="48" spans="1:13" x14ac:dyDescent="0.3">
      <c r="E48">
        <f>SUM(E5:E47)</f>
        <v>1860.5699999999997</v>
      </c>
      <c r="F48">
        <f t="shared" ref="F48:M48" si="0">SUM(F5:F47)</f>
        <v>1822.5700000000002</v>
      </c>
      <c r="G48">
        <f t="shared" si="0"/>
        <v>732</v>
      </c>
      <c r="H48">
        <f t="shared" si="0"/>
        <v>549</v>
      </c>
      <c r="I48">
        <f t="shared" si="0"/>
        <v>8687.2999999999993</v>
      </c>
      <c r="J48">
        <f t="shared" si="0"/>
        <v>455073.19999999995</v>
      </c>
      <c r="K48">
        <f t="shared" si="0"/>
        <v>38975.630000000012</v>
      </c>
      <c r="L48">
        <f t="shared" si="0"/>
        <v>98809.75999999998</v>
      </c>
      <c r="M48">
        <f t="shared" si="0"/>
        <v>376.5</v>
      </c>
    </row>
    <row r="50" spans="5:5" x14ac:dyDescent="0.3">
      <c r="E50" s="9">
        <f>E48/F48</f>
        <v>1.0208496792990116</v>
      </c>
    </row>
  </sheetData>
  <sortState xmlns:xlrd2="http://schemas.microsoft.com/office/spreadsheetml/2017/richdata2" ref="A5:M47">
    <sortCondition sortBy="cellColor" ref="A5:A47" dxfId="3"/>
  </sortState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Філіппова Катерина</cp:lastModifiedBy>
  <dcterms:created xsi:type="dcterms:W3CDTF">2026-07-20T16:38:03Z</dcterms:created>
  <dcterms:modified xsi:type="dcterms:W3CDTF">2026-07-21T12:13:57Z</dcterms:modified>
</cp:coreProperties>
</file>