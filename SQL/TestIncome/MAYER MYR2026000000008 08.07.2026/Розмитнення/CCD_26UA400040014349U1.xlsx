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<sst xmlns="http://schemas.openxmlformats.org/spreadsheetml/2006/main" count="135">
  <si>
    <t>Список товарів електронного інвойсу МД № 26UA400040014349U1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</si>
  <si>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</si>
  <si>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</si>
  <si>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</si>
  <si>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</si>
  <si>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</si>
  <si>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</si>
  <si>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</si>
  <si>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</si>
  <si>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</si>
  <si>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</si>
  <si>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</si>
  <si>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</si>
  <si>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</si>
  <si>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</si>
  <si>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</si>
  <si>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</si>
  <si>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</si>
  <si>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</si>
  <si>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</si>
  <si>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</si>
  <si>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</si>
  <si>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</si>
  <si>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</si>
  <si>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</si>
  <si>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</si>
  <si>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</si>
  <si>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4016995790</t>
  </si>
  <si>
    <t>40766CNT</t>
  </si>
  <si>
    <t>Комплект бризговиків універсальний гумовий передній-10шт, № по каталогу 40766CNT,</t>
  </si>
  <si>
    <t>TR</t>
  </si>
  <si>
    <t>MAYER OTOMOTIV SANAYI TICARET LIMITED SIRKETI</t>
  </si>
  <si>
    <t>CONTECH</t>
  </si>
  <si>
    <t>796</t>
  </si>
  <si>
    <t/>
  </si>
  <si>
    <t>40767CNT</t>
  </si>
  <si>
    <t>Комплект бризговиків універсальний гумовий передній-10шт, № по каталогу 40767CNT,</t>
  </si>
  <si>
    <t>40768CNT</t>
  </si>
  <si>
    <t>Комплект бризговиків універсальний гумовий передній-10шт, № по каталогу 40768CNT,</t>
  </si>
  <si>
    <t>40769CNT</t>
  </si>
  <si>
    <t>Комплект бризговиків універсальний гумовий-10шт, № по каталогу 40769CNT,</t>
  </si>
  <si>
    <t>13465CNT</t>
  </si>
  <si>
    <t>Бризговик причіпу гума-12шт, № по каталогу 13465CNT,</t>
  </si>
  <si>
    <t>40770CNT</t>
  </si>
  <si>
    <t>Бризговик причіпу гума-12шт, № по каталогу 40770CNT,</t>
  </si>
  <si>
    <t>40771CNT</t>
  </si>
  <si>
    <t>Бризговик причіпу гума-12шт, № по каталогу 40771CNT,</t>
  </si>
  <si>
    <t>13466CNT</t>
  </si>
  <si>
    <t>Бризговик причіпу гума-12шт, № по каталогу 13466CNT,</t>
  </si>
  <si>
    <t>15038CNT</t>
  </si>
  <si>
    <t>Бризговик причіпу гума-12шт, № по каталогу 15038CNT,</t>
  </si>
  <si>
    <t>40772CNT</t>
  </si>
  <si>
    <t>Бризговик причіпу гума-12шт, № по каталогу 40772CNT,</t>
  </si>
  <si>
    <t>13470CNT</t>
  </si>
  <si>
    <t>Бризговик причіпу гума-12шт, № по каталогу 13470CNT,</t>
  </si>
  <si>
    <t>13460CNT</t>
  </si>
  <si>
    <t>Бризговик причіпу гума-48шт, № по каталогу 13460CNT,</t>
  </si>
  <si>
    <t>Бризговик причіпу гума-12шт, № по каталогу 13460CNT,</t>
  </si>
  <si>
    <t>40774CNT</t>
  </si>
  <si>
    <t>Бризговик причіпу гума-12шт, № по каталогу 40774CNT,</t>
  </si>
  <si>
    <t>40775CNT</t>
  </si>
  <si>
    <t>Бризговик причіпу гума-12шт, № по каталогу 40775CNT,</t>
  </si>
  <si>
    <t>40776CNT</t>
  </si>
  <si>
    <t>Бризговик причіпу гума-12шт, № по каталогу 40776CNT,</t>
  </si>
  <si>
    <t>40777CNT</t>
  </si>
  <si>
    <t>Бризговик причіпу гума-12шт, № по каталогу 40777CNT,</t>
  </si>
  <si>
    <t>13484CNT</t>
  </si>
  <si>
    <t>Бризговик причіпу гума-10шт, № по каталогу 13484CNT,</t>
  </si>
  <si>
    <t>15018CNT</t>
  </si>
  <si>
    <t>Бризговик причіпу гума-10шт, № по каталогу 15018CNT,</t>
  </si>
  <si>
    <t>15033CNT</t>
  </si>
  <si>
    <t>Бризговик причіпу гума-10шт, № по каталогу 15033CNT,</t>
  </si>
  <si>
    <t>13483CNT</t>
  </si>
  <si>
    <t>Бризговик причіпу гума-35шт, № по каталогу 13483CNT,</t>
  </si>
  <si>
    <t>13461CNT</t>
  </si>
  <si>
    <t>Бризговик причіпу гума-10шт, № по каталогу 13461CNT,</t>
  </si>
  <si>
    <t>40778CNT</t>
  </si>
  <si>
    <t>Бризговик причіпу гума-10шт, № по каталогу 40778CNT,</t>
  </si>
  <si>
    <t xml:space="preserve">Разом по товару МД № 1</t>
  </si>
  <si>
    <t>3926300090</t>
  </si>
  <si>
    <t>107-201-077-0</t>
  </si>
  <si>
    <t>Стакан сепаратора-20шт, № по каталогу 107-201-077-0,</t>
  </si>
  <si>
    <t>MAYER</t>
  </si>
  <si>
    <t xml:space="preserve">Разом по товару МД № 2</t>
  </si>
  <si>
    <t>4009310000</t>
  </si>
  <si>
    <t>107-301-054-0</t>
  </si>
  <si>
    <t>Патрубок радіатора охолодження-20шт, № по каталогу 107-301-054-0,</t>
  </si>
  <si>
    <t xml:space="preserve">Разом по товару МД № 3</t>
  </si>
  <si>
    <t>4016995290</t>
  </si>
  <si>
    <t>108-102-008-S</t>
  </si>
  <si>
    <t>Пневмоподушка амортизатора кабіни-8шт, № по каталогу 108-102-008-S,</t>
  </si>
  <si>
    <t>108-105-008-S</t>
  </si>
  <si>
    <t>Пневмоподушка амортизатора кабіни-10шт, № по каталогу 108-105-008-S,</t>
  </si>
  <si>
    <t>108-106-002-S</t>
  </si>
  <si>
    <t>Пневмоподушка кабіни-8шт, № по каталогу 108-106-002-S,</t>
  </si>
  <si>
    <t>108-106-011-S</t>
  </si>
  <si>
    <t>Пневмоподушка амортизатора кабіни-8шт, № по каталогу 108-106-011-S,</t>
  </si>
  <si>
    <t>108-106-012-S</t>
  </si>
  <si>
    <t>Пневмоподушка амортизатора кабіни-8шт, № по каталогу 108-106-012-S,</t>
  </si>
  <si>
    <t xml:space="preserve">Разом по товару МД № 4</t>
  </si>
  <si>
    <t>8708309198</t>
  </si>
  <si>
    <t>106-102-000-2</t>
  </si>
  <si>
    <t>Комплект ремонтний супорта гальмівного-30шт, № по каталогу 106-102-000-2,</t>
  </si>
  <si>
    <t xml:space="preserve">Разом по товару МД № 5</t>
  </si>
  <si>
    <t>8708309998</t>
  </si>
  <si>
    <t>104-403-000-G</t>
  </si>
  <si>
    <t>Корпус модулятора ЕBS-10шт, № по каталогу 104-403-000-G,</t>
  </si>
  <si>
    <t>104-403-001-G</t>
  </si>
  <si>
    <t>Корпус модулятора ЕBS-10шт, № по каталогу 104-403-001-G,</t>
  </si>
  <si>
    <t xml:space="preserve">Разом по товару МД № 6</t>
  </si>
  <si>
    <t>8708709990</t>
  </si>
  <si>
    <t>101-U11-011-1</t>
  </si>
  <si>
    <t>Ковпак колеса тягача-20шт, № по каталогу 101-U11-011-1,</t>
  </si>
  <si>
    <t>101-U11-101-2</t>
  </si>
  <si>
    <t>Ковпак колеса тягача метал-15шт, № по каталогу 101-U11-101-2,</t>
  </si>
  <si>
    <t>101-U11-108-2</t>
  </si>
  <si>
    <t>Ковпак колеса тягача метал-15шт, № по каталогу 101-U11-108-2,</t>
  </si>
  <si>
    <t>Ковпак колеса тягача метал-4шт, № по каталогу 101-U11-108-2,</t>
  </si>
  <si>
    <t xml:space="preserve">Разом по товару МД № 7</t>
  </si>
  <si>
    <t>8708803598</t>
  </si>
  <si>
    <t>108-101-014-C</t>
  </si>
  <si>
    <t>Амортизатор кабіни з пневмоподушкою-8шт, № по каталогу 108-101-014-C,</t>
  </si>
  <si>
    <t>108-106-013-C</t>
  </si>
  <si>
    <t>Амортизатор кабіни з пневмоподушкою-8шт, № по каталогу 108-106-013-C,</t>
  </si>
  <si>
    <t>108-106-014-C</t>
  </si>
  <si>
    <t>Амортизатор кабіни з пневмоподушкою-8шт, № по каталогу 108-106-014-C,</t>
  </si>
  <si>
    <t>108-107-004-C</t>
  </si>
  <si>
    <t>Амортизатор кабіни з пневмоподушкою-8шт, № по каталогу 108-107-004-C,</t>
  </si>
  <si>
    <t>108-107-008-C</t>
  </si>
  <si>
    <t>Амортизатор кабіни з пневмоподушкою-8шт, № по каталогу 108-107-008-C,</t>
  </si>
  <si>
    <t xml:space="preserve">Разом по товару МД № 8</t>
  </si>
  <si>
    <t>8708939098</t>
  </si>
  <si>
    <t>104-809-002-0</t>
  </si>
  <si>
    <t>Пневмогідропідсилювач зчеплення-6шт, № по каталогу 104-809-002-0,</t>
  </si>
  <si>
    <t xml:space="preserve">Разом по товару МД № 9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</si>
</sst>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3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2" xfId="0" applyAlignment="1">
      <alignment horizontal="center" vertical="top" wrapText="1"/>
    </xf>
    <xf>
      <protection locked="0"/>
    </xf>
    <xf numFmtId="0" fontId="0" fillId="0" borderId="6" xfId="0" applyBorder="1"/>
    <xf numFmtId="50" fontId="0" fillId="0" borderId="4" xfId="0" applyBorder="1"/>
    <xf numFmtId="0" fontId="0" fillId="3" borderId="7" xfId="0" applyBorder="1"/>
    <xf numFmtId="0" fontId="0" fillId="3" borderId="8" xfId="0" applyBorder="1"/>
    <xf numFmtId="0" fontId="2" fillId="0" borderId="4" xfId="0" applyBorder="1"/>
    <xf numFmtId="0" fontId="0" fillId="3" borderId="9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56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6" t="s">
        <v>27</v>
      </c>
      <c r="C5" s="2">
        <v>1</v>
      </c>
      <c r="D5" s="2"/>
      <c r="E5" s="2" t="s">
        <v>28</v>
      </c>
      <c r="F5" s="2" t="s">
        <v>29</v>
      </c>
      <c r="G5" s="6" t="s">
        <v>30</v>
      </c>
      <c r="H5" s="2" t="s">
        <v>31</v>
      </c>
      <c r="I5" s="2" t="s">
        <v>32</v>
      </c>
      <c r="J5" s="2">
        <v>12.25</v>
      </c>
      <c r="K5" s="2">
        <v>12</v>
      </c>
      <c r="L5" s="2">
        <v>6.2</v>
      </c>
      <c r="M5" s="2">
        <v>10</v>
      </c>
      <c r="N5" s="4" t="s">
        <v>33</v>
      </c>
      <c r="O5" s="9" t="s">
        <v>34</v>
      </c>
      <c r="P5" s="2">
        <v>62</v>
      </c>
      <c r="Q5" s="2">
        <v>0</v>
      </c>
      <c r="R5" s="6" t="s">
        <v>34</v>
      </c>
      <c r="S5" s="2"/>
      <c r="T5" s="2">
        <v>3241.43</v>
      </c>
      <c r="U5" s="2">
        <v>324.14</v>
      </c>
      <c r="V5" s="2"/>
      <c r="W5" s="2"/>
      <c r="X5" s="2"/>
      <c r="Y5" s="2">
        <v>713.11</v>
      </c>
      <c r="Z5" s="2"/>
      <c r="AA5" s="10">
        <v>4278.68</v>
      </c>
    </row>
    <row r="6" ht="15">
      <c r="A6">
        <v>2</v>
      </c>
      <c r="B6" s="6"/>
      <c r="C6" s="2">
        <v>1</v>
      </c>
      <c r="D6" s="2"/>
      <c r="E6" s="2" t="s">
        <v>35</v>
      </c>
      <c r="F6" s="2" t="s">
        <v>36</v>
      </c>
      <c r="G6" s="6" t="s">
        <v>30</v>
      </c>
      <c r="H6" s="2" t="s">
        <v>31</v>
      </c>
      <c r="I6" s="2" t="s">
        <v>32</v>
      </c>
      <c r="J6" s="2">
        <v>13.78</v>
      </c>
      <c r="K6" s="2">
        <v>13.5</v>
      </c>
      <c r="L6" s="2">
        <v>8</v>
      </c>
      <c r="M6" s="2">
        <v>10</v>
      </c>
      <c r="N6" s="4" t="s">
        <v>33</v>
      </c>
      <c r="O6" s="9" t="s">
        <v>34</v>
      </c>
      <c r="P6" s="2">
        <v>80</v>
      </c>
      <c r="Q6" s="2">
        <v>0</v>
      </c>
      <c r="R6" s="6" t="s">
        <v>34</v>
      </c>
      <c r="S6" s="2"/>
      <c r="T6" s="2">
        <v>4169.96</v>
      </c>
      <c r="U6" s="2">
        <v>417</v>
      </c>
      <c r="V6" s="2"/>
      <c r="W6" s="2"/>
      <c r="X6" s="2"/>
      <c r="Y6" s="2">
        <v>917.39</v>
      </c>
      <c r="Z6" s="2"/>
      <c r="AA6" s="10">
        <v>5504.35</v>
      </c>
    </row>
    <row r="7" ht="15">
      <c r="A7">
        <v>3</v>
      </c>
      <c r="B7" s="6"/>
      <c r="C7" s="2">
        <v>1</v>
      </c>
      <c r="D7" s="2"/>
      <c r="E7" s="2" t="s">
        <v>37</v>
      </c>
      <c r="F7" s="2" t="s">
        <v>38</v>
      </c>
      <c r="G7" s="6" t="s">
        <v>30</v>
      </c>
      <c r="H7" s="2" t="s">
        <v>31</v>
      </c>
      <c r="I7" s="2" t="s">
        <v>32</v>
      </c>
      <c r="J7" s="2">
        <v>13.78</v>
      </c>
      <c r="K7" s="2">
        <v>13.5</v>
      </c>
      <c r="L7" s="2">
        <v>8</v>
      </c>
      <c r="M7" s="2">
        <v>10</v>
      </c>
      <c r="N7" s="4" t="s">
        <v>33</v>
      </c>
      <c r="O7" s="9" t="s">
        <v>34</v>
      </c>
      <c r="P7" s="2">
        <v>80</v>
      </c>
      <c r="Q7" s="2">
        <v>0</v>
      </c>
      <c r="R7" s="6" t="s">
        <v>34</v>
      </c>
      <c r="S7" s="2"/>
      <c r="T7" s="2">
        <v>4169.96</v>
      </c>
      <c r="U7" s="2">
        <v>417</v>
      </c>
      <c r="V7" s="2"/>
      <c r="W7" s="2"/>
      <c r="X7" s="2"/>
      <c r="Y7" s="2">
        <v>917.39</v>
      </c>
      <c r="Z7" s="2"/>
      <c r="AA7" s="10">
        <v>5504.35</v>
      </c>
    </row>
    <row r="8" ht="15">
      <c r="A8">
        <v>4</v>
      </c>
      <c r="B8" s="6"/>
      <c r="C8" s="2">
        <v>1</v>
      </c>
      <c r="D8" s="2"/>
      <c r="E8" s="2" t="s">
        <v>39</v>
      </c>
      <c r="F8" s="2" t="s">
        <v>40</v>
      </c>
      <c r="G8" s="6" t="s">
        <v>30</v>
      </c>
      <c r="H8" s="2" t="s">
        <v>31</v>
      </c>
      <c r="I8" s="2" t="s">
        <v>32</v>
      </c>
      <c r="J8" s="2">
        <v>25.52</v>
      </c>
      <c r="K8" s="2">
        <v>25</v>
      </c>
      <c r="L8" s="2">
        <v>8</v>
      </c>
      <c r="M8" s="2">
        <v>10</v>
      </c>
      <c r="N8" s="4" t="s">
        <v>33</v>
      </c>
      <c r="O8" s="9" t="s">
        <v>34</v>
      </c>
      <c r="P8" s="2">
        <v>80</v>
      </c>
      <c r="Q8" s="2">
        <v>0</v>
      </c>
      <c r="R8" s="6" t="s">
        <v>34</v>
      </c>
      <c r="S8" s="2"/>
      <c r="T8" s="2">
        <v>4242.55</v>
      </c>
      <c r="U8" s="2">
        <v>424.26</v>
      </c>
      <c r="V8" s="2"/>
      <c r="W8" s="2"/>
      <c r="X8" s="2"/>
      <c r="Y8" s="2">
        <v>933.36</v>
      </c>
      <c r="Z8" s="2"/>
      <c r="AA8" s="10">
        <v>5600.17</v>
      </c>
    </row>
    <row r="9" ht="15">
      <c r="A9">
        <v>5</v>
      </c>
      <c r="B9" s="6"/>
      <c r="C9" s="2">
        <v>1</v>
      </c>
      <c r="D9" s="2"/>
      <c r="E9" s="2" t="s">
        <v>41</v>
      </c>
      <c r="F9" s="2" t="s">
        <v>42</v>
      </c>
      <c r="G9" s="6" t="s">
        <v>30</v>
      </c>
      <c r="H9" s="2" t="s">
        <v>31</v>
      </c>
      <c r="I9" s="2" t="s">
        <v>32</v>
      </c>
      <c r="J9" s="2">
        <v>55.128</v>
      </c>
      <c r="K9" s="2">
        <v>54</v>
      </c>
      <c r="L9" s="2">
        <v>10.9</v>
      </c>
      <c r="M9" s="2">
        <v>12</v>
      </c>
      <c r="N9" s="4" t="s">
        <v>33</v>
      </c>
      <c r="O9" s="9" t="s">
        <v>34</v>
      </c>
      <c r="P9" s="2">
        <v>130.8</v>
      </c>
      <c r="Q9" s="2">
        <v>0</v>
      </c>
      <c r="R9" s="6" t="s">
        <v>34</v>
      </c>
      <c r="S9" s="2"/>
      <c r="T9" s="2">
        <v>7019.44</v>
      </c>
      <c r="U9" s="2">
        <v>701.94</v>
      </c>
      <c r="V9" s="2"/>
      <c r="W9" s="2"/>
      <c r="X9" s="2"/>
      <c r="Y9" s="2">
        <v>1544.28</v>
      </c>
      <c r="Z9" s="2"/>
      <c r="AA9" s="10">
        <v>9265.66</v>
      </c>
    </row>
    <row r="10" ht="15">
      <c r="A10">
        <v>6</v>
      </c>
      <c r="B10" s="6"/>
      <c r="C10" s="2">
        <v>1</v>
      </c>
      <c r="D10" s="2"/>
      <c r="E10" s="2" t="s">
        <v>43</v>
      </c>
      <c r="F10" s="2" t="s">
        <v>44</v>
      </c>
      <c r="G10" s="6" t="s">
        <v>30</v>
      </c>
      <c r="H10" s="2" t="s">
        <v>31</v>
      </c>
      <c r="I10" s="2" t="s">
        <v>32</v>
      </c>
      <c r="J10" s="2">
        <v>55.128</v>
      </c>
      <c r="K10" s="2">
        <v>54</v>
      </c>
      <c r="L10" s="2">
        <v>10.9</v>
      </c>
      <c r="M10" s="2">
        <v>12</v>
      </c>
      <c r="N10" s="4" t="s">
        <v>33</v>
      </c>
      <c r="O10" s="9" t="s">
        <v>34</v>
      </c>
      <c r="P10" s="2">
        <v>130.8</v>
      </c>
      <c r="Q10" s="2">
        <v>0</v>
      </c>
      <c r="R10" s="6" t="s">
        <v>34</v>
      </c>
      <c r="S10" s="2"/>
      <c r="T10" s="2">
        <v>7019.44</v>
      </c>
      <c r="U10" s="2">
        <v>701.94</v>
      </c>
      <c r="V10" s="2"/>
      <c r="W10" s="2"/>
      <c r="X10" s="2"/>
      <c r="Y10" s="2">
        <v>1544.28</v>
      </c>
      <c r="Z10" s="2"/>
      <c r="AA10" s="10">
        <v>9265.66</v>
      </c>
    </row>
    <row r="11" ht="15">
      <c r="A11">
        <v>7</v>
      </c>
      <c r="B11" s="6"/>
      <c r="C11" s="2">
        <v>1</v>
      </c>
      <c r="D11" s="2"/>
      <c r="E11" s="2" t="s">
        <v>45</v>
      </c>
      <c r="F11" s="2" t="s">
        <v>46</v>
      </c>
      <c r="G11" s="6" t="s">
        <v>30</v>
      </c>
      <c r="H11" s="2" t="s">
        <v>31</v>
      </c>
      <c r="I11" s="2" t="s">
        <v>32</v>
      </c>
      <c r="J11" s="2">
        <v>55.128</v>
      </c>
      <c r="K11" s="2">
        <v>54</v>
      </c>
      <c r="L11" s="2">
        <v>10.9</v>
      </c>
      <c r="M11" s="2">
        <v>12</v>
      </c>
      <c r="N11" s="4" t="s">
        <v>33</v>
      </c>
      <c r="O11" s="9" t="s">
        <v>34</v>
      </c>
      <c r="P11" s="2">
        <v>130.8</v>
      </c>
      <c r="Q11" s="2">
        <v>0</v>
      </c>
      <c r="R11" s="6" t="s">
        <v>34</v>
      </c>
      <c r="S11" s="2"/>
      <c r="T11" s="2">
        <v>7019.44</v>
      </c>
      <c r="U11" s="2">
        <v>701.94</v>
      </c>
      <c r="V11" s="2"/>
      <c r="W11" s="2"/>
      <c r="X11" s="2"/>
      <c r="Y11" s="2">
        <v>1544.28</v>
      </c>
      <c r="Z11" s="2"/>
      <c r="AA11" s="10">
        <v>9265.66</v>
      </c>
    </row>
    <row r="12" ht="15">
      <c r="A12">
        <v>8</v>
      </c>
      <c r="B12" s="6"/>
      <c r="C12" s="2">
        <v>1</v>
      </c>
      <c r="D12" s="2"/>
      <c r="E12" s="2" t="s">
        <v>47</v>
      </c>
      <c r="F12" s="2" t="s">
        <v>48</v>
      </c>
      <c r="G12" s="6" t="s">
        <v>30</v>
      </c>
      <c r="H12" s="2" t="s">
        <v>31</v>
      </c>
      <c r="I12" s="2" t="s">
        <v>32</v>
      </c>
      <c r="J12" s="2">
        <v>55.128</v>
      </c>
      <c r="K12" s="2">
        <v>54</v>
      </c>
      <c r="L12" s="2">
        <v>10.9</v>
      </c>
      <c r="M12" s="2">
        <v>12</v>
      </c>
      <c r="N12" s="4" t="s">
        <v>33</v>
      </c>
      <c r="O12" s="9" t="s">
        <v>34</v>
      </c>
      <c r="P12" s="2">
        <v>130.8</v>
      </c>
      <c r="Q12" s="2">
        <v>0</v>
      </c>
      <c r="R12" s="6" t="s">
        <v>34</v>
      </c>
      <c r="S12" s="2"/>
      <c r="T12" s="2">
        <v>7019.44</v>
      </c>
      <c r="U12" s="2">
        <v>701.94</v>
      </c>
      <c r="V12" s="2"/>
      <c r="W12" s="2"/>
      <c r="X12" s="2"/>
      <c r="Y12" s="2">
        <v>1544.28</v>
      </c>
      <c r="Z12" s="2"/>
      <c r="AA12" s="10">
        <v>9265.66</v>
      </c>
    </row>
    <row r="13" ht="15">
      <c r="A13">
        <v>9</v>
      </c>
      <c r="B13" s="6"/>
      <c r="C13" s="2">
        <v>1</v>
      </c>
      <c r="D13" s="2"/>
      <c r="E13" s="2" t="s">
        <v>49</v>
      </c>
      <c r="F13" s="2" t="s">
        <v>50</v>
      </c>
      <c r="G13" s="6" t="s">
        <v>30</v>
      </c>
      <c r="H13" s="2" t="s">
        <v>31</v>
      </c>
      <c r="I13" s="2" t="s">
        <v>32</v>
      </c>
      <c r="J13" s="2">
        <v>55.128</v>
      </c>
      <c r="K13" s="2">
        <v>54</v>
      </c>
      <c r="L13" s="2">
        <v>10.9</v>
      </c>
      <c r="M13" s="2">
        <v>12</v>
      </c>
      <c r="N13" s="4" t="s">
        <v>33</v>
      </c>
      <c r="O13" s="9" t="s">
        <v>34</v>
      </c>
      <c r="P13" s="2">
        <v>130.8</v>
      </c>
      <c r="Q13" s="2">
        <v>0</v>
      </c>
      <c r="R13" s="6" t="s">
        <v>34</v>
      </c>
      <c r="S13" s="2"/>
      <c r="T13" s="2">
        <v>7019.44</v>
      </c>
      <c r="U13" s="2">
        <v>701.94</v>
      </c>
      <c r="V13" s="2"/>
      <c r="W13" s="2"/>
      <c r="X13" s="2"/>
      <c r="Y13" s="2">
        <v>1544.28</v>
      </c>
      <c r="Z13" s="2"/>
      <c r="AA13" s="10">
        <v>9265.66</v>
      </c>
    </row>
    <row r="14" ht="15">
      <c r="A14">
        <v>10</v>
      </c>
      <c r="B14" s="6"/>
      <c r="C14" s="2">
        <v>1</v>
      </c>
      <c r="D14" s="2"/>
      <c r="E14" s="2" t="s">
        <v>51</v>
      </c>
      <c r="F14" s="2" t="s">
        <v>52</v>
      </c>
      <c r="G14" s="6" t="s">
        <v>30</v>
      </c>
      <c r="H14" s="2" t="s">
        <v>31</v>
      </c>
      <c r="I14" s="2" t="s">
        <v>32</v>
      </c>
      <c r="J14" s="2">
        <v>55.128</v>
      </c>
      <c r="K14" s="2">
        <v>54</v>
      </c>
      <c r="L14" s="2">
        <v>10.9</v>
      </c>
      <c r="M14" s="2">
        <v>12</v>
      </c>
      <c r="N14" s="4" t="s">
        <v>33</v>
      </c>
      <c r="O14" s="9" t="s">
        <v>34</v>
      </c>
      <c r="P14" s="2">
        <v>130.8</v>
      </c>
      <c r="Q14" s="2">
        <v>0</v>
      </c>
      <c r="R14" s="6" t="s">
        <v>34</v>
      </c>
      <c r="S14" s="2"/>
      <c r="T14" s="2">
        <v>7019.44</v>
      </c>
      <c r="U14" s="2">
        <v>701.94</v>
      </c>
      <c r="V14" s="2"/>
      <c r="W14" s="2"/>
      <c r="X14" s="2"/>
      <c r="Y14" s="2">
        <v>1544.28</v>
      </c>
      <c r="Z14" s="2"/>
      <c r="AA14" s="10">
        <v>9265.66</v>
      </c>
    </row>
    <row r="15" ht="15">
      <c r="A15">
        <v>11</v>
      </c>
      <c r="B15" s="6"/>
      <c r="C15" s="2">
        <v>1</v>
      </c>
      <c r="D15" s="2"/>
      <c r="E15" s="2" t="s">
        <v>53</v>
      </c>
      <c r="F15" s="2" t="s">
        <v>54</v>
      </c>
      <c r="G15" s="6" t="s">
        <v>30</v>
      </c>
      <c r="H15" s="2" t="s">
        <v>31</v>
      </c>
      <c r="I15" s="2" t="s">
        <v>32</v>
      </c>
      <c r="J15" s="2">
        <v>55.128</v>
      </c>
      <c r="K15" s="2">
        <v>54</v>
      </c>
      <c r="L15" s="2">
        <v>10.9</v>
      </c>
      <c r="M15" s="2">
        <v>12</v>
      </c>
      <c r="N15" s="4" t="s">
        <v>33</v>
      </c>
      <c r="O15" s="9" t="s">
        <v>34</v>
      </c>
      <c r="P15" s="2">
        <v>130.8</v>
      </c>
      <c r="Q15" s="2">
        <v>0</v>
      </c>
      <c r="R15" s="6" t="s">
        <v>34</v>
      </c>
      <c r="S15" s="2"/>
      <c r="T15" s="2">
        <v>7019.44</v>
      </c>
      <c r="U15" s="2">
        <v>701.94</v>
      </c>
      <c r="V15" s="2"/>
      <c r="W15" s="2"/>
      <c r="X15" s="2"/>
      <c r="Y15" s="2">
        <v>1544.28</v>
      </c>
      <c r="Z15" s="2"/>
      <c r="AA15" s="10">
        <v>9265.66</v>
      </c>
    </row>
    <row r="16" ht="15">
      <c r="A16">
        <v>12</v>
      </c>
      <c r="B16" s="6"/>
      <c r="C16" s="2">
        <v>1</v>
      </c>
      <c r="D16" s="2"/>
      <c r="E16" s="2" t="s">
        <v>55</v>
      </c>
      <c r="F16" s="2" t="s">
        <v>56</v>
      </c>
      <c r="G16" s="6" t="s">
        <v>30</v>
      </c>
      <c r="H16" s="2" t="s">
        <v>31</v>
      </c>
      <c r="I16" s="2" t="s">
        <v>32</v>
      </c>
      <c r="J16" s="2">
        <v>220.512</v>
      </c>
      <c r="K16" s="2">
        <v>216</v>
      </c>
      <c r="L16" s="2">
        <v>10.9</v>
      </c>
      <c r="M16" s="2">
        <v>48</v>
      </c>
      <c r="N16" s="4" t="s">
        <v>33</v>
      </c>
      <c r="O16" s="9" t="s">
        <v>34</v>
      </c>
      <c r="P16" s="2">
        <v>523.2</v>
      </c>
      <c r="Q16" s="2">
        <v>0</v>
      </c>
      <c r="R16" s="6" t="s">
        <v>34</v>
      </c>
      <c r="S16" s="2"/>
      <c r="T16" s="2">
        <v>28077.77</v>
      </c>
      <c r="U16" s="2">
        <v>2807.78</v>
      </c>
      <c r="V16" s="2"/>
      <c r="W16" s="2"/>
      <c r="X16" s="2"/>
      <c r="Y16" s="2">
        <v>6177.11</v>
      </c>
      <c r="Z16" s="2"/>
      <c r="AA16" s="10">
        <v>37062.66</v>
      </c>
    </row>
    <row r="17" ht="15">
      <c r="A17">
        <v>13</v>
      </c>
      <c r="B17" s="6"/>
      <c r="C17" s="2">
        <v>1</v>
      </c>
      <c r="D17" s="2"/>
      <c r="E17" s="2" t="s">
        <v>55</v>
      </c>
      <c r="F17" s="2" t="s">
        <v>57</v>
      </c>
      <c r="G17" s="6" t="s">
        <v>30</v>
      </c>
      <c r="H17" s="2" t="s">
        <v>31</v>
      </c>
      <c r="I17" s="2" t="s">
        <v>32</v>
      </c>
      <c r="J17" s="2">
        <v>55.128</v>
      </c>
      <c r="K17" s="2">
        <v>54</v>
      </c>
      <c r="L17" s="2">
        <v>10.9</v>
      </c>
      <c r="M17" s="2">
        <v>12</v>
      </c>
      <c r="N17" s="4" t="s">
        <v>33</v>
      </c>
      <c r="O17" s="9" t="s">
        <v>34</v>
      </c>
      <c r="P17" s="2">
        <v>130.8</v>
      </c>
      <c r="Q17" s="2">
        <v>0</v>
      </c>
      <c r="R17" s="6" t="s">
        <v>34</v>
      </c>
      <c r="S17" s="2"/>
      <c r="T17" s="2">
        <v>7019.44</v>
      </c>
      <c r="U17" s="2">
        <v>701.94</v>
      </c>
      <c r="V17" s="2"/>
      <c r="W17" s="2"/>
      <c r="X17" s="2"/>
      <c r="Y17" s="2">
        <v>1544.28</v>
      </c>
      <c r="Z17" s="2"/>
      <c r="AA17" s="10">
        <v>9265.66</v>
      </c>
    </row>
    <row r="18" ht="15">
      <c r="A18">
        <v>14</v>
      </c>
      <c r="B18" s="6"/>
      <c r="C18" s="2">
        <v>1</v>
      </c>
      <c r="D18" s="2"/>
      <c r="E18" s="2" t="s">
        <v>58</v>
      </c>
      <c r="F18" s="2" t="s">
        <v>59</v>
      </c>
      <c r="G18" s="6" t="s">
        <v>30</v>
      </c>
      <c r="H18" s="2" t="s">
        <v>31</v>
      </c>
      <c r="I18" s="2" t="s">
        <v>32</v>
      </c>
      <c r="J18" s="2">
        <v>55.128</v>
      </c>
      <c r="K18" s="2">
        <v>54</v>
      </c>
      <c r="L18" s="2">
        <v>10.9</v>
      </c>
      <c r="M18" s="2">
        <v>12</v>
      </c>
      <c r="N18" s="4" t="s">
        <v>33</v>
      </c>
      <c r="O18" s="9" t="s">
        <v>34</v>
      </c>
      <c r="P18" s="2">
        <v>130.8</v>
      </c>
      <c r="Q18" s="2">
        <v>0</v>
      </c>
      <c r="R18" s="6" t="s">
        <v>34</v>
      </c>
      <c r="S18" s="2"/>
      <c r="T18" s="2">
        <v>7019.44</v>
      </c>
      <c r="U18" s="2">
        <v>701.94</v>
      </c>
      <c r="V18" s="2"/>
      <c r="W18" s="2"/>
      <c r="X18" s="2"/>
      <c r="Y18" s="2">
        <v>1544.28</v>
      </c>
      <c r="Z18" s="2"/>
      <c r="AA18" s="10">
        <v>9265.66</v>
      </c>
    </row>
    <row r="19" ht="15">
      <c r="A19">
        <v>15</v>
      </c>
      <c r="B19" s="6"/>
      <c r="C19" s="2">
        <v>1</v>
      </c>
      <c r="D19" s="2"/>
      <c r="E19" s="2" t="s">
        <v>60</v>
      </c>
      <c r="F19" s="2" t="s">
        <v>61</v>
      </c>
      <c r="G19" s="6" t="s">
        <v>30</v>
      </c>
      <c r="H19" s="2" t="s">
        <v>31</v>
      </c>
      <c r="I19" s="2" t="s">
        <v>32</v>
      </c>
      <c r="J19" s="2">
        <v>55.128</v>
      </c>
      <c r="K19" s="2">
        <v>54</v>
      </c>
      <c r="L19" s="2">
        <v>12</v>
      </c>
      <c r="M19" s="2">
        <v>12</v>
      </c>
      <c r="N19" s="4" t="s">
        <v>33</v>
      </c>
      <c r="O19" s="9" t="s">
        <v>34</v>
      </c>
      <c r="P19" s="2">
        <v>144</v>
      </c>
      <c r="Q19" s="2">
        <v>0</v>
      </c>
      <c r="R19" s="6" t="s">
        <v>34</v>
      </c>
      <c r="S19" s="2"/>
      <c r="T19" s="2">
        <v>7693.43</v>
      </c>
      <c r="U19" s="2">
        <v>769.34</v>
      </c>
      <c r="V19" s="2"/>
      <c r="W19" s="2"/>
      <c r="X19" s="2"/>
      <c r="Y19" s="2">
        <v>1692.55</v>
      </c>
      <c r="Z19" s="2"/>
      <c r="AA19" s="10">
        <v>10155.32</v>
      </c>
    </row>
    <row r="20" ht="15">
      <c r="A20">
        <v>16</v>
      </c>
      <c r="B20" s="6"/>
      <c r="C20" s="2">
        <v>1</v>
      </c>
      <c r="D20" s="2"/>
      <c r="E20" s="2" t="s">
        <v>62</v>
      </c>
      <c r="F20" s="2" t="s">
        <v>63</v>
      </c>
      <c r="G20" s="6" t="s">
        <v>30</v>
      </c>
      <c r="H20" s="2" t="s">
        <v>31</v>
      </c>
      <c r="I20" s="2" t="s">
        <v>32</v>
      </c>
      <c r="J20" s="2">
        <v>55.128</v>
      </c>
      <c r="K20" s="2">
        <v>54</v>
      </c>
      <c r="L20" s="2">
        <v>12</v>
      </c>
      <c r="M20" s="2">
        <v>12</v>
      </c>
      <c r="N20" s="4" t="s">
        <v>33</v>
      </c>
      <c r="O20" s="9" t="s">
        <v>34</v>
      </c>
      <c r="P20" s="2">
        <v>144</v>
      </c>
      <c r="Q20" s="2">
        <v>0</v>
      </c>
      <c r="R20" s="6" t="s">
        <v>34</v>
      </c>
      <c r="S20" s="2"/>
      <c r="T20" s="2">
        <v>7693.43</v>
      </c>
      <c r="U20" s="2">
        <v>769.34</v>
      </c>
      <c r="V20" s="2"/>
      <c r="W20" s="2"/>
      <c r="X20" s="2"/>
      <c r="Y20" s="2">
        <v>1692.55</v>
      </c>
      <c r="Z20" s="2"/>
      <c r="AA20" s="10">
        <v>10155.32</v>
      </c>
    </row>
    <row r="21" ht="15">
      <c r="A21">
        <v>17</v>
      </c>
      <c r="B21" s="6"/>
      <c r="C21" s="2">
        <v>1</v>
      </c>
      <c r="D21" s="2"/>
      <c r="E21" s="2" t="s">
        <v>64</v>
      </c>
      <c r="F21" s="2" t="s">
        <v>65</v>
      </c>
      <c r="G21" s="6" t="s">
        <v>30</v>
      </c>
      <c r="H21" s="2" t="s">
        <v>31</v>
      </c>
      <c r="I21" s="2" t="s">
        <v>32</v>
      </c>
      <c r="J21" s="2">
        <v>55.128</v>
      </c>
      <c r="K21" s="2">
        <v>54</v>
      </c>
      <c r="L21" s="2">
        <v>12</v>
      </c>
      <c r="M21" s="2">
        <v>12</v>
      </c>
      <c r="N21" s="4" t="s">
        <v>33</v>
      </c>
      <c r="O21" s="9" t="s">
        <v>34</v>
      </c>
      <c r="P21" s="2">
        <v>144</v>
      </c>
      <c r="Q21" s="2">
        <v>0</v>
      </c>
      <c r="R21" s="6" t="s">
        <v>34</v>
      </c>
      <c r="S21" s="2"/>
      <c r="T21" s="2">
        <v>7693.43</v>
      </c>
      <c r="U21" s="2">
        <v>769.34</v>
      </c>
      <c r="V21" s="2"/>
      <c r="W21" s="2"/>
      <c r="X21" s="2"/>
      <c r="Y21" s="2">
        <v>1692.55</v>
      </c>
      <c r="Z21" s="2"/>
      <c r="AA21" s="10">
        <v>10155.32</v>
      </c>
    </row>
    <row r="22" ht="15">
      <c r="A22">
        <v>18</v>
      </c>
      <c r="B22" s="6"/>
      <c r="C22" s="2">
        <v>1</v>
      </c>
      <c r="D22" s="2"/>
      <c r="E22" s="2" t="s">
        <v>66</v>
      </c>
      <c r="F22" s="2" t="s">
        <v>67</v>
      </c>
      <c r="G22" s="6" t="s">
        <v>30</v>
      </c>
      <c r="H22" s="2" t="s">
        <v>31</v>
      </c>
      <c r="I22" s="2" t="s">
        <v>32</v>
      </c>
      <c r="J22" s="2">
        <v>62.78</v>
      </c>
      <c r="K22" s="2">
        <v>61.5</v>
      </c>
      <c r="L22" s="2">
        <v>17.9</v>
      </c>
      <c r="M22" s="2">
        <v>10</v>
      </c>
      <c r="N22" s="4" t="s">
        <v>33</v>
      </c>
      <c r="O22" s="9" t="s">
        <v>34</v>
      </c>
      <c r="P22" s="2">
        <v>179</v>
      </c>
      <c r="Q22" s="2">
        <v>0</v>
      </c>
      <c r="R22" s="6" t="s">
        <v>34</v>
      </c>
      <c r="S22" s="2"/>
      <c r="T22" s="2">
        <v>9527.82</v>
      </c>
      <c r="U22" s="2">
        <v>952.78</v>
      </c>
      <c r="V22" s="2"/>
      <c r="W22" s="2"/>
      <c r="X22" s="2"/>
      <c r="Y22" s="2">
        <v>2096.12</v>
      </c>
      <c r="Z22" s="2"/>
      <c r="AA22" s="10">
        <v>12576.72</v>
      </c>
    </row>
    <row r="23" ht="15">
      <c r="A23">
        <v>19</v>
      </c>
      <c r="B23" s="6"/>
      <c r="C23" s="2">
        <v>1</v>
      </c>
      <c r="D23" s="2"/>
      <c r="E23" s="2" t="s">
        <v>68</v>
      </c>
      <c r="F23" s="2" t="s">
        <v>69</v>
      </c>
      <c r="G23" s="6" t="s">
        <v>30</v>
      </c>
      <c r="H23" s="2" t="s">
        <v>31</v>
      </c>
      <c r="I23" s="2" t="s">
        <v>32</v>
      </c>
      <c r="J23" s="2">
        <v>62.78</v>
      </c>
      <c r="K23" s="2">
        <v>61.5</v>
      </c>
      <c r="L23" s="2">
        <v>17.9</v>
      </c>
      <c r="M23" s="2">
        <v>10</v>
      </c>
      <c r="N23" s="4" t="s">
        <v>33</v>
      </c>
      <c r="O23" s="9" t="s">
        <v>34</v>
      </c>
      <c r="P23" s="2">
        <v>179</v>
      </c>
      <c r="Q23" s="2">
        <v>0</v>
      </c>
      <c r="R23" s="6" t="s">
        <v>34</v>
      </c>
      <c r="S23" s="2"/>
      <c r="T23" s="2">
        <v>9527.82</v>
      </c>
      <c r="U23" s="2">
        <v>952.78</v>
      </c>
      <c r="V23" s="2"/>
      <c r="W23" s="2"/>
      <c r="X23" s="2"/>
      <c r="Y23" s="2">
        <v>2096.12</v>
      </c>
      <c r="Z23" s="2"/>
      <c r="AA23" s="10">
        <v>12576.72</v>
      </c>
    </row>
    <row r="24" ht="15">
      <c r="A24">
        <v>20</v>
      </c>
      <c r="B24" s="6"/>
      <c r="C24" s="2">
        <v>1</v>
      </c>
      <c r="D24" s="2"/>
      <c r="E24" s="2" t="s">
        <v>70</v>
      </c>
      <c r="F24" s="2" t="s">
        <v>71</v>
      </c>
      <c r="G24" s="6" t="s">
        <v>30</v>
      </c>
      <c r="H24" s="2" t="s">
        <v>31</v>
      </c>
      <c r="I24" s="2" t="s">
        <v>32</v>
      </c>
      <c r="J24" s="2">
        <v>62.78</v>
      </c>
      <c r="K24" s="2">
        <v>61.5</v>
      </c>
      <c r="L24" s="2">
        <v>17.9</v>
      </c>
      <c r="M24" s="2">
        <v>10</v>
      </c>
      <c r="N24" s="4" t="s">
        <v>33</v>
      </c>
      <c r="O24" s="9" t="s">
        <v>34</v>
      </c>
      <c r="P24" s="2">
        <v>179</v>
      </c>
      <c r="Q24" s="2">
        <v>0</v>
      </c>
      <c r="R24" s="6" t="s">
        <v>34</v>
      </c>
      <c r="S24" s="2"/>
      <c r="T24" s="2">
        <v>9527.82</v>
      </c>
      <c r="U24" s="2">
        <v>952.78</v>
      </c>
      <c r="V24" s="2"/>
      <c r="W24" s="2"/>
      <c r="X24" s="2"/>
      <c r="Y24" s="2">
        <v>2096.12</v>
      </c>
      <c r="Z24" s="2"/>
      <c r="AA24" s="10">
        <v>12576.72</v>
      </c>
    </row>
    <row r="25" ht="15">
      <c r="A25">
        <v>21</v>
      </c>
      <c r="B25" s="6"/>
      <c r="C25" s="2">
        <v>1</v>
      </c>
      <c r="D25" s="2"/>
      <c r="E25" s="2" t="s">
        <v>72</v>
      </c>
      <c r="F25" s="2" t="s">
        <v>73</v>
      </c>
      <c r="G25" s="6" t="s">
        <v>30</v>
      </c>
      <c r="H25" s="2" t="s">
        <v>31</v>
      </c>
      <c r="I25" s="2" t="s">
        <v>32</v>
      </c>
      <c r="J25" s="2">
        <v>219.73</v>
      </c>
      <c r="K25" s="2">
        <v>215.25</v>
      </c>
      <c r="L25" s="2">
        <v>17.9</v>
      </c>
      <c r="M25" s="2">
        <v>35</v>
      </c>
      <c r="N25" s="4" t="s">
        <v>33</v>
      </c>
      <c r="O25" s="9" t="s">
        <v>34</v>
      </c>
      <c r="P25" s="2">
        <v>626.5</v>
      </c>
      <c r="Q25" s="2">
        <v>0</v>
      </c>
      <c r="R25" s="6" t="s">
        <v>34</v>
      </c>
      <c r="S25" s="2"/>
      <c r="T25" s="13">
        <f>SUM(33347.38,0.03)</f>
        <v>0</v>
      </c>
      <c r="U25" s="13">
        <f>SUM(3334.74,0.04)</f>
        <v>0</v>
      </c>
      <c r="V25" s="2"/>
      <c r="W25" s="2"/>
      <c r="X25" s="2"/>
      <c r="Y25" s="13">
        <f>SUM(7336.42,0.01)</f>
        <v>0</v>
      </c>
      <c r="Z25" s="2"/>
      <c r="AA25" s="10">
        <v>44018.54</v>
      </c>
    </row>
    <row r="26" ht="15">
      <c r="A26">
        <v>22</v>
      </c>
      <c r="B26" s="6"/>
      <c r="C26" s="2">
        <v>1</v>
      </c>
      <c r="D26" s="2"/>
      <c r="E26" s="2" t="s">
        <v>74</v>
      </c>
      <c r="F26" s="2" t="s">
        <v>75</v>
      </c>
      <c r="G26" s="6" t="s">
        <v>30</v>
      </c>
      <c r="H26" s="2" t="s">
        <v>31</v>
      </c>
      <c r="I26" s="2" t="s">
        <v>32</v>
      </c>
      <c r="J26" s="2">
        <v>64.31</v>
      </c>
      <c r="K26" s="2">
        <v>63</v>
      </c>
      <c r="L26" s="2">
        <v>17.9</v>
      </c>
      <c r="M26" s="2">
        <v>10</v>
      </c>
      <c r="N26" s="4" t="s">
        <v>33</v>
      </c>
      <c r="O26" s="9" t="s">
        <v>34</v>
      </c>
      <c r="P26" s="2">
        <v>179</v>
      </c>
      <c r="Q26" s="2">
        <v>0</v>
      </c>
      <c r="R26" s="6" t="s">
        <v>34</v>
      </c>
      <c r="S26" s="2"/>
      <c r="T26" s="2">
        <v>9537.28</v>
      </c>
      <c r="U26" s="2">
        <v>953.73</v>
      </c>
      <c r="V26" s="2"/>
      <c r="W26" s="2"/>
      <c r="X26" s="2"/>
      <c r="Y26" s="2">
        <v>2098.2</v>
      </c>
      <c r="Z26" s="2"/>
      <c r="AA26" s="10">
        <v>12589.21</v>
      </c>
    </row>
    <row r="27" ht="15">
      <c r="A27">
        <v>23</v>
      </c>
      <c r="B27" s="6"/>
      <c r="C27" s="2">
        <v>1</v>
      </c>
      <c r="D27" s="2"/>
      <c r="E27" s="2" t="s">
        <v>76</v>
      </c>
      <c r="F27" s="2" t="s">
        <v>77</v>
      </c>
      <c r="G27" s="6" t="s">
        <v>30</v>
      </c>
      <c r="H27" s="2" t="s">
        <v>31</v>
      </c>
      <c r="I27" s="2" t="s">
        <v>32</v>
      </c>
      <c r="J27" s="2">
        <v>64.31</v>
      </c>
      <c r="K27" s="2">
        <v>63</v>
      </c>
      <c r="L27" s="2">
        <v>17.9</v>
      </c>
      <c r="M27" s="2">
        <v>10</v>
      </c>
      <c r="N27" s="4" t="s">
        <v>33</v>
      </c>
      <c r="O27" s="9" t="s">
        <v>34</v>
      </c>
      <c r="P27" s="2">
        <v>179</v>
      </c>
      <c r="Q27" s="2">
        <v>0</v>
      </c>
      <c r="R27" s="6" t="s">
        <v>34</v>
      </c>
      <c r="S27" s="2"/>
      <c r="T27" s="2">
        <v>9537.28</v>
      </c>
      <c r="U27" s="2">
        <v>953.73</v>
      </c>
      <c r="V27" s="2"/>
      <c r="W27" s="2"/>
      <c r="X27" s="2"/>
      <c r="Y27" s="2">
        <v>2098.2</v>
      </c>
      <c r="Z27" s="2"/>
      <c r="AA27" s="10">
        <v>12589.21</v>
      </c>
    </row>
    <row r="28" ht="15">
      <c r="A28" s="11"/>
      <c r="B28" s="11"/>
      <c r="C28" s="11"/>
      <c r="D28" s="11"/>
      <c r="E28" s="11"/>
      <c r="F28" s="11" t="s">
        <v>78</v>
      </c>
      <c r="G28" s="11"/>
      <c r="H28" s="11"/>
      <c r="I28" s="11"/>
      <c r="J28" s="11">
        <f>SUM(J5:J27)</f>
        <v>0</v>
      </c>
      <c r="K28" s="11">
        <f>SUM(K5:K27)</f>
        <v>0</v>
      </c>
      <c r="L28" s="11"/>
      <c r="M28" s="11">
        <f>SUM(M5:M27)</f>
        <v>0</v>
      </c>
      <c r="N28" s="12"/>
      <c r="O28" s="14"/>
      <c r="P28" s="11">
        <f>SUM(P5:P27)</f>
        <v>0</v>
      </c>
      <c r="Q28" s="11">
        <f>SUM(Q5:Q27)</f>
        <v>0</v>
      </c>
      <c r="R28" s="11"/>
      <c r="S28" s="11">
        <f>SUM(S5:S27)</f>
        <v>0</v>
      </c>
      <c r="T28" s="11"/>
      <c r="U28" s="11"/>
      <c r="V28" s="11"/>
      <c r="W28" s="11"/>
      <c r="X28" s="11"/>
      <c r="Y28" s="11"/>
      <c r="Z28" s="11"/>
      <c r="AA28" s="11"/>
    </row>
    <row r="29" ht="15">
      <c r="A29">
        <v>1</v>
      </c>
      <c r="B29" s="6" t="s">
        <v>79</v>
      </c>
      <c r="C29" s="2">
        <v>2</v>
      </c>
      <c r="D29" s="2"/>
      <c r="E29" s="2" t="s">
        <v>80</v>
      </c>
      <c r="F29" s="2" t="s">
        <v>81</v>
      </c>
      <c r="G29" s="6" t="s">
        <v>30</v>
      </c>
      <c r="H29" s="2" t="s">
        <v>31</v>
      </c>
      <c r="I29" s="2" t="s">
        <v>82</v>
      </c>
      <c r="J29" s="2">
        <v>2.04</v>
      </c>
      <c r="K29" s="2">
        <v>2</v>
      </c>
      <c r="L29" s="2">
        <v>3.5</v>
      </c>
      <c r="M29" s="2">
        <v>20</v>
      </c>
      <c r="N29" s="4" t="s">
        <v>33</v>
      </c>
      <c r="O29" s="9" t="s">
        <v>34</v>
      </c>
      <c r="P29" s="2">
        <v>70</v>
      </c>
      <c r="Q29" s="2">
        <v>0</v>
      </c>
      <c r="R29" s="6" t="s">
        <v>34</v>
      </c>
      <c r="S29" s="2"/>
      <c r="T29" s="2">
        <v>3586.78</v>
      </c>
      <c r="U29" s="2">
        <v>233.14</v>
      </c>
      <c r="V29" s="2"/>
      <c r="W29" s="2"/>
      <c r="X29" s="2"/>
      <c r="Y29" s="2">
        <v>763.98</v>
      </c>
      <c r="Z29" s="2"/>
      <c r="AA29" s="10">
        <v>4583.9</v>
      </c>
    </row>
    <row r="30" ht="15">
      <c r="A30" s="11"/>
      <c r="B30" s="11"/>
      <c r="C30" s="11"/>
      <c r="D30" s="11"/>
      <c r="E30" s="11"/>
      <c r="F30" s="11" t="s">
        <v>83</v>
      </c>
      <c r="G30" s="11"/>
      <c r="H30" s="11"/>
      <c r="I30" s="11"/>
      <c r="J30" s="11">
        <f>SUM(J29:J29)</f>
        <v>0</v>
      </c>
      <c r="K30" s="11">
        <f>SUM(K29:K29)</f>
        <v>0</v>
      </c>
      <c r="L30" s="11"/>
      <c r="M30" s="11">
        <f>SUM(M29:M29)</f>
        <v>0</v>
      </c>
      <c r="N30" s="12"/>
      <c r="O30" s="14"/>
      <c r="P30" s="11">
        <f>SUM(P29:P29)</f>
        <v>0</v>
      </c>
      <c r="Q30" s="11">
        <f>SUM(Q29:Q29)</f>
        <v>0</v>
      </c>
      <c r="R30" s="11"/>
      <c r="S30" s="11">
        <f>SUM(S29:S29)</f>
        <v>0</v>
      </c>
      <c r="T30" s="11"/>
      <c r="U30" s="11"/>
      <c r="V30" s="11"/>
      <c r="W30" s="11"/>
      <c r="X30" s="11"/>
      <c r="Y30" s="11"/>
      <c r="Z30" s="11"/>
      <c r="AA30" s="11"/>
    </row>
    <row r="31" ht="15">
      <c r="A31">
        <v>1</v>
      </c>
      <c r="B31" s="6" t="s">
        <v>84</v>
      </c>
      <c r="C31" s="2">
        <v>3</v>
      </c>
      <c r="D31" s="2"/>
      <c r="E31" s="2" t="s">
        <v>85</v>
      </c>
      <c r="F31" s="2" t="s">
        <v>86</v>
      </c>
      <c r="G31" s="6" t="s">
        <v>30</v>
      </c>
      <c r="H31" s="2" t="s">
        <v>31</v>
      </c>
      <c r="I31" s="2" t="s">
        <v>82</v>
      </c>
      <c r="J31" s="2">
        <v>61.26</v>
      </c>
      <c r="K31" s="2">
        <v>60</v>
      </c>
      <c r="L31" s="2">
        <v>45.5</v>
      </c>
      <c r="M31" s="2">
        <v>20</v>
      </c>
      <c r="N31" s="4" t="s">
        <v>33</v>
      </c>
      <c r="O31" s="9" t="s">
        <v>34</v>
      </c>
      <c r="P31" s="2">
        <v>910</v>
      </c>
      <c r="Q31" s="2">
        <v>0</v>
      </c>
      <c r="R31" s="6" t="s">
        <v>34</v>
      </c>
      <c r="S31" s="2"/>
      <c r="T31" s="2">
        <v>46842.92</v>
      </c>
      <c r="U31" s="2">
        <v>2342.15</v>
      </c>
      <c r="V31" s="2"/>
      <c r="W31" s="2"/>
      <c r="X31" s="2"/>
      <c r="Y31" s="2">
        <v>9837.01</v>
      </c>
      <c r="Z31" s="2"/>
      <c r="AA31" s="10">
        <v>59022.08</v>
      </c>
    </row>
    <row r="32" ht="15">
      <c r="A32" s="11"/>
      <c r="B32" s="11"/>
      <c r="C32" s="11"/>
      <c r="D32" s="11"/>
      <c r="E32" s="11"/>
      <c r="F32" s="11" t="s">
        <v>87</v>
      </c>
      <c r="G32" s="11"/>
      <c r="H32" s="11"/>
      <c r="I32" s="11"/>
      <c r="J32" s="11">
        <f>SUM(J31:J31)</f>
        <v>0</v>
      </c>
      <c r="K32" s="11">
        <f>SUM(K31:K31)</f>
        <v>0</v>
      </c>
      <c r="L32" s="11"/>
      <c r="M32" s="11">
        <f>SUM(M31:M31)</f>
        <v>0</v>
      </c>
      <c r="N32" s="12"/>
      <c r="O32" s="14"/>
      <c r="P32" s="11">
        <f>SUM(P31:P31)</f>
        <v>0</v>
      </c>
      <c r="Q32" s="11">
        <f>SUM(Q31:Q31)</f>
        <v>0</v>
      </c>
      <c r="R32" s="11"/>
      <c r="S32" s="11">
        <f>SUM(S31:S31)</f>
        <v>0</v>
      </c>
      <c r="T32" s="11"/>
      <c r="U32" s="11"/>
      <c r="V32" s="11"/>
      <c r="W32" s="11"/>
      <c r="X32" s="11"/>
      <c r="Y32" s="11"/>
      <c r="Z32" s="11"/>
      <c r="AA32" s="11"/>
    </row>
    <row r="33" ht="15">
      <c r="A33">
        <v>1</v>
      </c>
      <c r="B33" s="6" t="s">
        <v>88</v>
      </c>
      <c r="C33" s="2">
        <v>4</v>
      </c>
      <c r="D33" s="2"/>
      <c r="E33" s="2" t="s">
        <v>89</v>
      </c>
      <c r="F33" s="2" t="s">
        <v>90</v>
      </c>
      <c r="G33" s="6" t="s">
        <v>30</v>
      </c>
      <c r="H33" s="2" t="s">
        <v>31</v>
      </c>
      <c r="I33" s="2" t="s">
        <v>82</v>
      </c>
      <c r="J33" s="2">
        <v>11.024</v>
      </c>
      <c r="K33" s="2">
        <v>10.8</v>
      </c>
      <c r="L33" s="2">
        <v>14</v>
      </c>
      <c r="M33" s="2">
        <v>8</v>
      </c>
      <c r="N33" s="4" t="s">
        <v>33</v>
      </c>
      <c r="O33" s="9" t="s">
        <v>34</v>
      </c>
      <c r="P33" s="2">
        <v>112</v>
      </c>
      <c r="Q33" s="2">
        <v>0</v>
      </c>
      <c r="R33" s="6" t="s">
        <v>34</v>
      </c>
      <c r="S33" s="2"/>
      <c r="T33" s="2">
        <v>5786.83</v>
      </c>
      <c r="U33" s="2">
        <v>578.68</v>
      </c>
      <c r="V33" s="2"/>
      <c r="W33" s="2"/>
      <c r="X33" s="2"/>
      <c r="Y33" s="2">
        <v>1273.1</v>
      </c>
      <c r="Z33" s="2"/>
      <c r="AA33" s="10">
        <v>7638.61</v>
      </c>
    </row>
    <row r="34" ht="15">
      <c r="A34">
        <v>2</v>
      </c>
      <c r="B34" s="6"/>
      <c r="C34" s="2">
        <v>4</v>
      </c>
      <c r="D34" s="2"/>
      <c r="E34" s="2" t="s">
        <v>91</v>
      </c>
      <c r="F34" s="2" t="s">
        <v>92</v>
      </c>
      <c r="G34" s="6" t="s">
        <v>30</v>
      </c>
      <c r="H34" s="2" t="s">
        <v>31</v>
      </c>
      <c r="I34" s="2" t="s">
        <v>82</v>
      </c>
      <c r="J34" s="2">
        <v>13.77</v>
      </c>
      <c r="K34" s="2">
        <v>13.5</v>
      </c>
      <c r="L34" s="2">
        <v>13</v>
      </c>
      <c r="M34" s="2">
        <v>10</v>
      </c>
      <c r="N34" s="4" t="s">
        <v>33</v>
      </c>
      <c r="O34" s="9" t="s">
        <v>34</v>
      </c>
      <c r="P34" s="2">
        <v>130</v>
      </c>
      <c r="Q34" s="2">
        <v>0</v>
      </c>
      <c r="R34" s="6" t="s">
        <v>34</v>
      </c>
      <c r="S34" s="2"/>
      <c r="T34" s="2">
        <v>6722.88</v>
      </c>
      <c r="U34" s="2">
        <v>672.29</v>
      </c>
      <c r="V34" s="2"/>
      <c r="W34" s="2"/>
      <c r="X34" s="2"/>
      <c r="Y34" s="2">
        <v>1479.03</v>
      </c>
      <c r="Z34" s="2"/>
      <c r="AA34" s="10">
        <v>8874.2</v>
      </c>
    </row>
    <row r="35" ht="15">
      <c r="A35">
        <v>3</v>
      </c>
      <c r="B35" s="6"/>
      <c r="C35" s="2">
        <v>4</v>
      </c>
      <c r="D35" s="2"/>
      <c r="E35" s="2" t="s">
        <v>93</v>
      </c>
      <c r="F35" s="2" t="s">
        <v>94</v>
      </c>
      <c r="G35" s="6" t="s">
        <v>30</v>
      </c>
      <c r="H35" s="2" t="s">
        <v>31</v>
      </c>
      <c r="I35" s="2" t="s">
        <v>82</v>
      </c>
      <c r="J35" s="2">
        <v>16.664</v>
      </c>
      <c r="K35" s="2">
        <v>16.32</v>
      </c>
      <c r="L35" s="2">
        <v>22</v>
      </c>
      <c r="M35" s="2">
        <v>8</v>
      </c>
      <c r="N35" s="4" t="s">
        <v>33</v>
      </c>
      <c r="O35" s="9" t="s">
        <v>34</v>
      </c>
      <c r="P35" s="2">
        <v>176</v>
      </c>
      <c r="Q35" s="2">
        <v>0</v>
      </c>
      <c r="R35" s="6" t="s">
        <v>34</v>
      </c>
      <c r="S35" s="2"/>
      <c r="T35" s="13">
        <f>SUM(9089.51,-0.01)</f>
        <v>0</v>
      </c>
      <c r="U35" s="13">
        <f>SUM(908.95,-0.01)</f>
        <v>0</v>
      </c>
      <c r="V35" s="2"/>
      <c r="W35" s="2"/>
      <c r="X35" s="2"/>
      <c r="Y35" s="2">
        <v>1999.69</v>
      </c>
      <c r="Z35" s="2"/>
      <c r="AA35" s="10">
        <v>11998.15</v>
      </c>
    </row>
    <row r="36" ht="15">
      <c r="A36">
        <v>4</v>
      </c>
      <c r="B36" s="6"/>
      <c r="C36" s="2">
        <v>4</v>
      </c>
      <c r="D36" s="2"/>
      <c r="E36" s="2" t="s">
        <v>95</v>
      </c>
      <c r="F36" s="2" t="s">
        <v>96</v>
      </c>
      <c r="G36" s="6" t="s">
        <v>30</v>
      </c>
      <c r="H36" s="2" t="s">
        <v>31</v>
      </c>
      <c r="I36" s="2" t="s">
        <v>82</v>
      </c>
      <c r="J36" s="2">
        <v>11.432</v>
      </c>
      <c r="K36" s="2">
        <v>11.2</v>
      </c>
      <c r="L36" s="2">
        <v>13</v>
      </c>
      <c r="M36" s="2">
        <v>8</v>
      </c>
      <c r="N36" s="4" t="s">
        <v>33</v>
      </c>
      <c r="O36" s="9" t="s">
        <v>34</v>
      </c>
      <c r="P36" s="2">
        <v>104</v>
      </c>
      <c r="Q36" s="2">
        <v>0</v>
      </c>
      <c r="R36" s="6" t="s">
        <v>34</v>
      </c>
      <c r="S36" s="2"/>
      <c r="T36" s="2">
        <v>5380.87</v>
      </c>
      <c r="U36" s="2">
        <v>538.09</v>
      </c>
      <c r="V36" s="2"/>
      <c r="W36" s="2"/>
      <c r="X36" s="2"/>
      <c r="Y36" s="2">
        <v>1183.79</v>
      </c>
      <c r="Z36" s="2"/>
      <c r="AA36" s="10">
        <v>7102.75</v>
      </c>
    </row>
    <row r="37" ht="15">
      <c r="A37">
        <v>5</v>
      </c>
      <c r="B37" s="6"/>
      <c r="C37" s="2">
        <v>4</v>
      </c>
      <c r="D37" s="2"/>
      <c r="E37" s="2" t="s">
        <v>97</v>
      </c>
      <c r="F37" s="2" t="s">
        <v>98</v>
      </c>
      <c r="G37" s="6" t="s">
        <v>30</v>
      </c>
      <c r="H37" s="2" t="s">
        <v>31</v>
      </c>
      <c r="I37" s="2" t="s">
        <v>82</v>
      </c>
      <c r="J37" s="2">
        <v>11.024</v>
      </c>
      <c r="K37" s="2">
        <v>10.8</v>
      </c>
      <c r="L37" s="2">
        <v>13</v>
      </c>
      <c r="M37" s="2">
        <v>8</v>
      </c>
      <c r="N37" s="4" t="s">
        <v>33</v>
      </c>
      <c r="O37" s="9" t="s">
        <v>34</v>
      </c>
      <c r="P37" s="2">
        <v>104</v>
      </c>
      <c r="Q37" s="2">
        <v>0</v>
      </c>
      <c r="R37" s="6" t="s">
        <v>34</v>
      </c>
      <c r="S37" s="2"/>
      <c r="T37" s="2">
        <v>5378.35</v>
      </c>
      <c r="U37" s="2">
        <v>537.84</v>
      </c>
      <c r="V37" s="2"/>
      <c r="W37" s="2"/>
      <c r="X37" s="2"/>
      <c r="Y37" s="2">
        <v>1183.24</v>
      </c>
      <c r="Z37" s="2"/>
      <c r="AA37" s="10">
        <v>7099.43</v>
      </c>
    </row>
    <row r="38" ht="15">
      <c r="A38" s="11"/>
      <c r="B38" s="11"/>
      <c r="C38" s="11"/>
      <c r="D38" s="11"/>
      <c r="E38" s="11"/>
      <c r="F38" s="11" t="s">
        <v>99</v>
      </c>
      <c r="G38" s="11"/>
      <c r="H38" s="11"/>
      <c r="I38" s="11"/>
      <c r="J38" s="11">
        <f>SUM(J33:J37)</f>
        <v>0</v>
      </c>
      <c r="K38" s="11">
        <f>SUM(K33:K37)</f>
        <v>0</v>
      </c>
      <c r="L38" s="11"/>
      <c r="M38" s="11">
        <f>SUM(M33:M37)</f>
        <v>0</v>
      </c>
      <c r="N38" s="12"/>
      <c r="O38" s="14"/>
      <c r="P38" s="11">
        <f>SUM(P33:P37)</f>
        <v>0</v>
      </c>
      <c r="Q38" s="11">
        <f>SUM(Q33:Q37)</f>
        <v>0</v>
      </c>
      <c r="R38" s="11"/>
      <c r="S38" s="11">
        <f>SUM(S33:S37)</f>
        <v>0</v>
      </c>
      <c r="T38" s="11"/>
      <c r="U38" s="11"/>
      <c r="V38" s="11"/>
      <c r="W38" s="11"/>
      <c r="X38" s="11"/>
      <c r="Y38" s="11"/>
      <c r="Z38" s="11"/>
      <c r="AA38" s="11"/>
    </row>
    <row r="39" ht="15">
      <c r="A39">
        <v>1</v>
      </c>
      <c r="B39" s="6" t="s">
        <v>100</v>
      </c>
      <c r="C39" s="2">
        <v>5</v>
      </c>
      <c r="D39" s="2"/>
      <c r="E39" s="2" t="s">
        <v>101</v>
      </c>
      <c r="F39" s="2" t="s">
        <v>102</v>
      </c>
      <c r="G39" s="6" t="s">
        <v>30</v>
      </c>
      <c r="H39" s="2" t="s">
        <v>31</v>
      </c>
      <c r="I39" s="2" t="s">
        <v>82</v>
      </c>
      <c r="J39" s="2">
        <v>17.76</v>
      </c>
      <c r="K39" s="2">
        <v>17.4</v>
      </c>
      <c r="L39" s="2">
        <v>10.6</v>
      </c>
      <c r="M39" s="2">
        <v>30</v>
      </c>
      <c r="N39" s="4" t="s">
        <v>33</v>
      </c>
      <c r="O39" s="9" t="s">
        <v>34</v>
      </c>
      <c r="P39" s="2">
        <v>318</v>
      </c>
      <c r="Q39" s="2">
        <v>0</v>
      </c>
      <c r="R39" s="6" t="s">
        <v>34</v>
      </c>
      <c r="S39" s="2"/>
      <c r="T39" s="2">
        <v>16346.73</v>
      </c>
      <c r="U39" s="2">
        <v>1634.67</v>
      </c>
      <c r="V39" s="2"/>
      <c r="W39" s="2"/>
      <c r="X39" s="2"/>
      <c r="Y39" s="2">
        <v>3596.28</v>
      </c>
      <c r="Z39" s="2"/>
      <c r="AA39" s="10">
        <v>21577.68</v>
      </c>
    </row>
    <row r="40" ht="15">
      <c r="A40" s="11"/>
      <c r="B40" s="11"/>
      <c r="C40" s="11"/>
      <c r="D40" s="11"/>
      <c r="E40" s="11"/>
      <c r="F40" s="11" t="s">
        <v>103</v>
      </c>
      <c r="G40" s="11"/>
      <c r="H40" s="11"/>
      <c r="I40" s="11"/>
      <c r="J40" s="11">
        <f>SUM(J39:J39)</f>
        <v>0</v>
      </c>
      <c r="K40" s="11">
        <f>SUM(K39:K39)</f>
        <v>0</v>
      </c>
      <c r="L40" s="11"/>
      <c r="M40" s="11">
        <f>SUM(M39:M39)</f>
        <v>0</v>
      </c>
      <c r="N40" s="12"/>
      <c r="O40" s="14"/>
      <c r="P40" s="11">
        <f>SUM(P39:P39)</f>
        <v>0</v>
      </c>
      <c r="Q40" s="11">
        <f>SUM(Q39:Q39)</f>
        <v>0</v>
      </c>
      <c r="R40" s="11"/>
      <c r="S40" s="11">
        <f>SUM(S39:S39)</f>
        <v>0</v>
      </c>
      <c r="T40" s="11"/>
      <c r="U40" s="11"/>
      <c r="V40" s="11"/>
      <c r="W40" s="11"/>
      <c r="X40" s="11"/>
      <c r="Y40" s="11"/>
      <c r="Z40" s="11"/>
      <c r="AA40" s="11"/>
    </row>
    <row r="41" ht="15">
      <c r="A41">
        <v>1</v>
      </c>
      <c r="B41" s="6" t="s">
        <v>104</v>
      </c>
      <c r="C41" s="2">
        <v>6</v>
      </c>
      <c r="D41" s="2"/>
      <c r="E41" s="2" t="s">
        <v>105</v>
      </c>
      <c r="F41" s="2" t="s">
        <v>106</v>
      </c>
      <c r="G41" s="6" t="s">
        <v>30</v>
      </c>
      <c r="H41" s="2" t="s">
        <v>31</v>
      </c>
      <c r="I41" s="2" t="s">
        <v>82</v>
      </c>
      <c r="J41" s="2">
        <v>19.4</v>
      </c>
      <c r="K41" s="2">
        <v>19</v>
      </c>
      <c r="L41" s="2">
        <v>65</v>
      </c>
      <c r="M41" s="2">
        <v>10</v>
      </c>
      <c r="N41" s="4" t="s">
        <v>33</v>
      </c>
      <c r="O41" s="9" t="s">
        <v>34</v>
      </c>
      <c r="P41" s="2">
        <v>650</v>
      </c>
      <c r="Q41" s="2">
        <v>0</v>
      </c>
      <c r="R41" s="6" t="s">
        <v>34</v>
      </c>
      <c r="S41" s="2"/>
      <c r="T41" s="13">
        <f>SUM(33308.63,-0.01)</f>
        <v>0</v>
      </c>
      <c r="U41" s="2">
        <v>3330.86</v>
      </c>
      <c r="V41" s="2"/>
      <c r="W41" s="2"/>
      <c r="X41" s="2"/>
      <c r="Y41" s="2">
        <v>7327.9</v>
      </c>
      <c r="Z41" s="2"/>
      <c r="AA41" s="10">
        <v>43967.39</v>
      </c>
    </row>
    <row r="42" ht="15">
      <c r="A42">
        <v>2</v>
      </c>
      <c r="B42" s="6"/>
      <c r="C42" s="2">
        <v>6</v>
      </c>
      <c r="D42" s="2"/>
      <c r="E42" s="2" t="s">
        <v>107</v>
      </c>
      <c r="F42" s="2" t="s">
        <v>108</v>
      </c>
      <c r="G42" s="6" t="s">
        <v>30</v>
      </c>
      <c r="H42" s="2" t="s">
        <v>31</v>
      </c>
      <c r="I42" s="2" t="s">
        <v>82</v>
      </c>
      <c r="J42" s="2">
        <v>11.23</v>
      </c>
      <c r="K42" s="2">
        <v>11</v>
      </c>
      <c r="L42" s="2">
        <v>30</v>
      </c>
      <c r="M42" s="2">
        <v>10</v>
      </c>
      <c r="N42" s="4" t="s">
        <v>33</v>
      </c>
      <c r="O42" s="9" t="s">
        <v>34</v>
      </c>
      <c r="P42" s="2">
        <v>300</v>
      </c>
      <c r="Q42" s="2">
        <v>0</v>
      </c>
      <c r="R42" s="6" t="s">
        <v>34</v>
      </c>
      <c r="S42" s="2"/>
      <c r="T42" s="2">
        <v>15387.29</v>
      </c>
      <c r="U42" s="2">
        <v>1538.73</v>
      </c>
      <c r="V42" s="2"/>
      <c r="W42" s="2"/>
      <c r="X42" s="2"/>
      <c r="Y42" s="2">
        <v>3385.2</v>
      </c>
      <c r="Z42" s="2"/>
      <c r="AA42" s="10">
        <v>20311.22</v>
      </c>
    </row>
    <row r="43" ht="15">
      <c r="A43" s="11"/>
      <c r="B43" s="11"/>
      <c r="C43" s="11"/>
      <c r="D43" s="11"/>
      <c r="E43" s="11"/>
      <c r="F43" s="11" t="s">
        <v>109</v>
      </c>
      <c r="G43" s="11"/>
      <c r="H43" s="11"/>
      <c r="I43" s="11"/>
      <c r="J43" s="11">
        <f>SUM(J41:J42)</f>
        <v>0</v>
      </c>
      <c r="K43" s="11">
        <f>SUM(K41:K42)</f>
        <v>0</v>
      </c>
      <c r="L43" s="11"/>
      <c r="M43" s="11">
        <f>SUM(M41:M42)</f>
        <v>0</v>
      </c>
      <c r="N43" s="12"/>
      <c r="O43" s="14"/>
      <c r="P43" s="11">
        <f>SUM(P41:P42)</f>
        <v>0</v>
      </c>
      <c r="Q43" s="11">
        <f>SUM(Q41:Q42)</f>
        <v>0</v>
      </c>
      <c r="R43" s="11"/>
      <c r="S43" s="11">
        <f>SUM(S41:S42)</f>
        <v>0</v>
      </c>
      <c r="T43" s="11"/>
      <c r="U43" s="11"/>
      <c r="V43" s="11"/>
      <c r="W43" s="11"/>
      <c r="X43" s="11"/>
      <c r="Y43" s="11"/>
      <c r="Z43" s="11"/>
      <c r="AA43" s="11"/>
    </row>
    <row r="44" ht="15">
      <c r="A44">
        <v>1</v>
      </c>
      <c r="B44" s="6" t="s">
        <v>110</v>
      </c>
      <c r="C44" s="2">
        <v>7</v>
      </c>
      <c r="D44" s="2"/>
      <c r="E44" s="2" t="s">
        <v>111</v>
      </c>
      <c r="F44" s="2" t="s">
        <v>112</v>
      </c>
      <c r="G44" s="6" t="s">
        <v>30</v>
      </c>
      <c r="H44" s="2" t="s">
        <v>31</v>
      </c>
      <c r="I44" s="2" t="s">
        <v>82</v>
      </c>
      <c r="J44" s="2">
        <v>22.46</v>
      </c>
      <c r="K44" s="2">
        <v>22</v>
      </c>
      <c r="L44" s="2">
        <v>7.5</v>
      </c>
      <c r="M44" s="2">
        <v>20</v>
      </c>
      <c r="N44" s="4" t="s">
        <v>33</v>
      </c>
      <c r="O44" s="9" t="s">
        <v>34</v>
      </c>
      <c r="P44" s="2">
        <v>150</v>
      </c>
      <c r="Q44" s="2">
        <v>0</v>
      </c>
      <c r="R44" s="6" t="s">
        <v>34</v>
      </c>
      <c r="S44" s="2"/>
      <c r="T44" s="2">
        <v>7797.8</v>
      </c>
      <c r="U44" s="2">
        <v>389.89</v>
      </c>
      <c r="V44" s="2"/>
      <c r="W44" s="2"/>
      <c r="X44" s="2"/>
      <c r="Y44" s="2">
        <v>1637.54</v>
      </c>
      <c r="Z44" s="2"/>
      <c r="AA44" s="10">
        <v>9825.23</v>
      </c>
    </row>
    <row r="45" ht="15">
      <c r="A45">
        <v>2</v>
      </c>
      <c r="B45" s="6"/>
      <c r="C45" s="2">
        <v>7</v>
      </c>
      <c r="D45" s="2"/>
      <c r="E45" s="2" t="s">
        <v>113</v>
      </c>
      <c r="F45" s="2" t="s">
        <v>114</v>
      </c>
      <c r="G45" s="6" t="s">
        <v>30</v>
      </c>
      <c r="H45" s="2" t="s">
        <v>31</v>
      </c>
      <c r="I45" s="2" t="s">
        <v>82</v>
      </c>
      <c r="J45" s="2">
        <v>16.845</v>
      </c>
      <c r="K45" s="2">
        <v>16.5</v>
      </c>
      <c r="L45" s="2">
        <v>10.5</v>
      </c>
      <c r="M45" s="2">
        <v>15</v>
      </c>
      <c r="N45" s="4" t="s">
        <v>33</v>
      </c>
      <c r="O45" s="9" t="s">
        <v>34</v>
      </c>
      <c r="P45" s="2">
        <v>157.5</v>
      </c>
      <c r="Q45" s="2">
        <v>0</v>
      </c>
      <c r="R45" s="6" t="s">
        <v>34</v>
      </c>
      <c r="S45" s="2"/>
      <c r="T45" s="13">
        <f>SUM(8146.02,0.01)</f>
        <v>0</v>
      </c>
      <c r="U45" s="13">
        <f>SUM(407.3,0.01)</f>
        <v>0</v>
      </c>
      <c r="V45" s="2"/>
      <c r="W45" s="2"/>
      <c r="X45" s="2"/>
      <c r="Y45" s="13">
        <f>SUM(1710.66,0.01)</f>
        <v>0</v>
      </c>
      <c r="Z45" s="2"/>
      <c r="AA45" s="10">
        <v>10263.98</v>
      </c>
    </row>
    <row r="46" ht="15">
      <c r="A46">
        <v>3</v>
      </c>
      <c r="B46" s="6"/>
      <c r="C46" s="2">
        <v>7</v>
      </c>
      <c r="D46" s="2"/>
      <c r="E46" s="2" t="s">
        <v>115</v>
      </c>
      <c r="F46" s="2" t="s">
        <v>116</v>
      </c>
      <c r="G46" s="6" t="s">
        <v>30</v>
      </c>
      <c r="H46" s="2" t="s">
        <v>31</v>
      </c>
      <c r="I46" s="2" t="s">
        <v>82</v>
      </c>
      <c r="J46" s="2">
        <v>16.845</v>
      </c>
      <c r="K46" s="2">
        <v>16.5</v>
      </c>
      <c r="L46" s="2">
        <v>10.5</v>
      </c>
      <c r="M46" s="2">
        <v>15</v>
      </c>
      <c r="N46" s="4" t="s">
        <v>33</v>
      </c>
      <c r="O46" s="9" t="s">
        <v>34</v>
      </c>
      <c r="P46" s="2">
        <v>157.5</v>
      </c>
      <c r="Q46" s="2">
        <v>0</v>
      </c>
      <c r="R46" s="6" t="s">
        <v>34</v>
      </c>
      <c r="S46" s="2"/>
      <c r="T46" s="2">
        <v>8146.02</v>
      </c>
      <c r="U46" s="2">
        <v>407.3</v>
      </c>
      <c r="V46" s="2"/>
      <c r="W46" s="2"/>
      <c r="X46" s="2"/>
      <c r="Y46" s="2">
        <v>1710.66</v>
      </c>
      <c r="Z46" s="2"/>
      <c r="AA46" s="10">
        <v>10263.98</v>
      </c>
    </row>
    <row r="47" ht="15">
      <c r="A47">
        <v>4</v>
      </c>
      <c r="B47" s="6"/>
      <c r="C47" s="2">
        <v>7</v>
      </c>
      <c r="D47" s="2"/>
      <c r="E47" s="2" t="s">
        <v>115</v>
      </c>
      <c r="F47" s="2" t="s">
        <v>117</v>
      </c>
      <c r="G47" s="6" t="s">
        <v>30</v>
      </c>
      <c r="H47" s="2" t="s">
        <v>31</v>
      </c>
      <c r="I47" s="2" t="s">
        <v>82</v>
      </c>
      <c r="J47" s="2">
        <v>4.492</v>
      </c>
      <c r="K47" s="2">
        <v>4.4</v>
      </c>
      <c r="L47" s="2">
        <v>10.5</v>
      </c>
      <c r="M47" s="2">
        <v>4</v>
      </c>
      <c r="N47" s="4" t="s">
        <v>33</v>
      </c>
      <c r="O47" s="9" t="s">
        <v>34</v>
      </c>
      <c r="P47" s="2">
        <v>42</v>
      </c>
      <c r="Q47" s="2">
        <v>0</v>
      </c>
      <c r="R47" s="6" t="s">
        <v>34</v>
      </c>
      <c r="S47" s="2"/>
      <c r="T47" s="2">
        <v>2172.27</v>
      </c>
      <c r="U47" s="2">
        <v>108.61</v>
      </c>
      <c r="V47" s="2"/>
      <c r="W47" s="2"/>
      <c r="X47" s="2"/>
      <c r="Y47" s="2">
        <v>456.18</v>
      </c>
      <c r="Z47" s="2"/>
      <c r="AA47" s="10">
        <v>2737.06</v>
      </c>
    </row>
    <row r="48" ht="15">
      <c r="A48" s="11"/>
      <c r="B48" s="11"/>
      <c r="C48" s="11"/>
      <c r="D48" s="11"/>
      <c r="E48" s="11"/>
      <c r="F48" s="11" t="s">
        <v>118</v>
      </c>
      <c r="G48" s="11"/>
      <c r="H48" s="11"/>
      <c r="I48" s="11"/>
      <c r="J48" s="11">
        <f>SUM(J44:J47)</f>
        <v>0</v>
      </c>
      <c r="K48" s="11">
        <f>SUM(K44:K47)</f>
        <v>0</v>
      </c>
      <c r="L48" s="11"/>
      <c r="M48" s="11">
        <f>SUM(M44:M47)</f>
        <v>0</v>
      </c>
      <c r="N48" s="12"/>
      <c r="O48" s="14"/>
      <c r="P48" s="11">
        <f>SUM(P44:P47)</f>
        <v>0</v>
      </c>
      <c r="Q48" s="11">
        <f>SUM(Q44:Q47)</f>
        <v>0</v>
      </c>
      <c r="R48" s="11"/>
      <c r="S48" s="11">
        <f>SUM(S44:S47)</f>
        <v>0</v>
      </c>
      <c r="T48" s="11"/>
      <c r="U48" s="11"/>
      <c r="V48" s="11"/>
      <c r="W48" s="11"/>
      <c r="X48" s="11"/>
      <c r="Y48" s="11"/>
      <c r="Z48" s="11"/>
      <c r="AA48" s="11"/>
    </row>
    <row r="49" ht="15">
      <c r="A49">
        <v>1</v>
      </c>
      <c r="B49" s="6" t="s">
        <v>119</v>
      </c>
      <c r="C49" s="2">
        <v>8</v>
      </c>
      <c r="D49" s="2"/>
      <c r="E49" s="2" t="s">
        <v>120</v>
      </c>
      <c r="F49" s="2" t="s">
        <v>121</v>
      </c>
      <c r="G49" s="6" t="s">
        <v>30</v>
      </c>
      <c r="H49" s="2" t="s">
        <v>31</v>
      </c>
      <c r="I49" s="2" t="s">
        <v>82</v>
      </c>
      <c r="J49" s="2">
        <v>21.232</v>
      </c>
      <c r="K49" s="2">
        <v>20.8</v>
      </c>
      <c r="L49" s="2">
        <v>22.9</v>
      </c>
      <c r="M49" s="2">
        <v>8</v>
      </c>
      <c r="N49" s="4" t="s">
        <v>33</v>
      </c>
      <c r="O49" s="9" t="s">
        <v>34</v>
      </c>
      <c r="P49" s="2">
        <v>183.2</v>
      </c>
      <c r="Q49" s="2">
        <v>0</v>
      </c>
      <c r="R49" s="6" t="s">
        <v>34</v>
      </c>
      <c r="S49" s="2"/>
      <c r="T49" s="2">
        <v>9485.38</v>
      </c>
      <c r="U49" s="2">
        <v>474.27</v>
      </c>
      <c r="V49" s="2"/>
      <c r="W49" s="2"/>
      <c r="X49" s="2"/>
      <c r="Y49" s="2">
        <v>1991.93</v>
      </c>
      <c r="Z49" s="2"/>
      <c r="AA49" s="10">
        <v>11951.58</v>
      </c>
    </row>
    <row r="50" ht="15">
      <c r="A50">
        <v>2</v>
      </c>
      <c r="B50" s="6"/>
      <c r="C50" s="2">
        <v>8</v>
      </c>
      <c r="D50" s="2"/>
      <c r="E50" s="2" t="s">
        <v>122</v>
      </c>
      <c r="F50" s="2" t="s">
        <v>123</v>
      </c>
      <c r="G50" s="6" t="s">
        <v>30</v>
      </c>
      <c r="H50" s="2" t="s">
        <v>31</v>
      </c>
      <c r="I50" s="2" t="s">
        <v>82</v>
      </c>
      <c r="J50" s="2">
        <v>32.664</v>
      </c>
      <c r="K50" s="2">
        <v>32</v>
      </c>
      <c r="L50" s="2">
        <v>31.4</v>
      </c>
      <c r="M50" s="2">
        <v>8</v>
      </c>
      <c r="N50" s="4" t="s">
        <v>33</v>
      </c>
      <c r="O50" s="9" t="s">
        <v>34</v>
      </c>
      <c r="P50" s="2">
        <v>251.2</v>
      </c>
      <c r="Q50" s="2">
        <v>0</v>
      </c>
      <c r="R50" s="6" t="s">
        <v>34</v>
      </c>
      <c r="S50" s="2"/>
      <c r="T50" s="2">
        <v>13028.11</v>
      </c>
      <c r="U50" s="2">
        <v>651.41</v>
      </c>
      <c r="V50" s="2"/>
      <c r="W50" s="2"/>
      <c r="X50" s="2"/>
      <c r="Y50" s="2">
        <v>2735.9</v>
      </c>
      <c r="Z50" s="2"/>
      <c r="AA50" s="10">
        <v>16415.42</v>
      </c>
    </row>
    <row r="51" ht="15">
      <c r="A51">
        <v>3</v>
      </c>
      <c r="B51" s="6"/>
      <c r="C51" s="2">
        <v>8</v>
      </c>
      <c r="D51" s="2"/>
      <c r="E51" s="2" t="s">
        <v>124</v>
      </c>
      <c r="F51" s="2" t="s">
        <v>125</v>
      </c>
      <c r="G51" s="6" t="s">
        <v>30</v>
      </c>
      <c r="H51" s="2" t="s">
        <v>31</v>
      </c>
      <c r="I51" s="2" t="s">
        <v>82</v>
      </c>
      <c r="J51" s="2">
        <v>18.784</v>
      </c>
      <c r="K51" s="2">
        <v>18.4</v>
      </c>
      <c r="L51" s="2">
        <v>22.5</v>
      </c>
      <c r="M51" s="2">
        <v>8</v>
      </c>
      <c r="N51" s="4" t="s">
        <v>33</v>
      </c>
      <c r="O51" s="9" t="s">
        <v>34</v>
      </c>
      <c r="P51" s="2">
        <v>180</v>
      </c>
      <c r="Q51" s="2">
        <v>0</v>
      </c>
      <c r="R51" s="6" t="s">
        <v>34</v>
      </c>
      <c r="S51" s="2"/>
      <c r="T51" s="2">
        <v>9306.85</v>
      </c>
      <c r="U51" s="2">
        <v>465.34</v>
      </c>
      <c r="V51" s="2"/>
      <c r="W51" s="2"/>
      <c r="X51" s="2"/>
      <c r="Y51" s="2">
        <v>1954.44</v>
      </c>
      <c r="Z51" s="2"/>
      <c r="AA51" s="10">
        <v>11726.63</v>
      </c>
    </row>
    <row r="52" ht="15">
      <c r="A52">
        <v>4</v>
      </c>
      <c r="B52" s="6"/>
      <c r="C52" s="2">
        <v>8</v>
      </c>
      <c r="D52" s="2"/>
      <c r="E52" s="2" t="s">
        <v>126</v>
      </c>
      <c r="F52" s="2" t="s">
        <v>127</v>
      </c>
      <c r="G52" s="6" t="s">
        <v>30</v>
      </c>
      <c r="H52" s="2" t="s">
        <v>31</v>
      </c>
      <c r="I52" s="2" t="s">
        <v>82</v>
      </c>
      <c r="J52" s="2">
        <v>31.032</v>
      </c>
      <c r="K52" s="2">
        <v>30.4</v>
      </c>
      <c r="L52" s="2">
        <v>28</v>
      </c>
      <c r="M52" s="2">
        <v>8</v>
      </c>
      <c r="N52" s="4" t="s">
        <v>33</v>
      </c>
      <c r="O52" s="9" t="s">
        <v>34</v>
      </c>
      <c r="P52" s="2">
        <v>224</v>
      </c>
      <c r="Q52" s="2">
        <v>0</v>
      </c>
      <c r="R52" s="6" t="s">
        <v>34</v>
      </c>
      <c r="S52" s="2"/>
      <c r="T52" s="2">
        <v>11629.2</v>
      </c>
      <c r="U52" s="2">
        <v>581.46</v>
      </c>
      <c r="V52" s="2"/>
      <c r="W52" s="2"/>
      <c r="X52" s="2"/>
      <c r="Y52" s="2">
        <v>2442.13</v>
      </c>
      <c r="Z52" s="2"/>
      <c r="AA52" s="10">
        <v>14652.79</v>
      </c>
    </row>
    <row r="53" ht="15">
      <c r="A53">
        <v>5</v>
      </c>
      <c r="B53" s="6"/>
      <c r="C53" s="2">
        <v>8</v>
      </c>
      <c r="D53" s="2"/>
      <c r="E53" s="2" t="s">
        <v>128</v>
      </c>
      <c r="F53" s="2" t="s">
        <v>129</v>
      </c>
      <c r="G53" s="6" t="s">
        <v>30</v>
      </c>
      <c r="H53" s="2" t="s">
        <v>31</v>
      </c>
      <c r="I53" s="2" t="s">
        <v>82</v>
      </c>
      <c r="J53" s="2">
        <v>21.232</v>
      </c>
      <c r="K53" s="2">
        <v>20.8</v>
      </c>
      <c r="L53" s="2">
        <v>28</v>
      </c>
      <c r="M53" s="2">
        <v>8</v>
      </c>
      <c r="N53" s="4" t="s">
        <v>33</v>
      </c>
      <c r="O53" s="9" t="s">
        <v>34</v>
      </c>
      <c r="P53" s="2">
        <v>224</v>
      </c>
      <c r="Q53" s="2">
        <v>0</v>
      </c>
      <c r="R53" s="6" t="s">
        <v>34</v>
      </c>
      <c r="S53" s="2"/>
      <c r="T53" s="2">
        <v>11568.61</v>
      </c>
      <c r="U53" s="2">
        <v>578.43</v>
      </c>
      <c r="V53" s="2"/>
      <c r="W53" s="2"/>
      <c r="X53" s="2"/>
      <c r="Y53" s="2">
        <v>2429.41</v>
      </c>
      <c r="Z53" s="2"/>
      <c r="AA53" s="10">
        <v>14576.45</v>
      </c>
    </row>
    <row r="54" ht="15">
      <c r="A54" s="11"/>
      <c r="B54" s="11"/>
      <c r="C54" s="11"/>
      <c r="D54" s="11"/>
      <c r="E54" s="11"/>
      <c r="F54" s="11" t="s">
        <v>130</v>
      </c>
      <c r="G54" s="11"/>
      <c r="H54" s="11"/>
      <c r="I54" s="11"/>
      <c r="J54" s="11">
        <f>SUM(J49:J53)</f>
        <v>0</v>
      </c>
      <c r="K54" s="11">
        <f>SUM(K49:K53)</f>
        <v>0</v>
      </c>
      <c r="L54" s="11"/>
      <c r="M54" s="11">
        <f>SUM(M49:M53)</f>
        <v>0</v>
      </c>
      <c r="N54" s="12"/>
      <c r="O54" s="14"/>
      <c r="P54" s="11">
        <f>SUM(P49:P53)</f>
        <v>0</v>
      </c>
      <c r="Q54" s="11">
        <f>SUM(Q49:Q53)</f>
        <v>0</v>
      </c>
      <c r="R54" s="11"/>
      <c r="S54" s="11">
        <f>SUM(S49:S53)</f>
        <v>0</v>
      </c>
      <c r="T54" s="11"/>
      <c r="U54" s="11"/>
      <c r="V54" s="11"/>
      <c r="W54" s="11"/>
      <c r="X54" s="11"/>
      <c r="Y54" s="11"/>
      <c r="Z54" s="11"/>
      <c r="AA54" s="11"/>
    </row>
    <row r="55" ht="15">
      <c r="A55">
        <v>1</v>
      </c>
      <c r="B55" s="6" t="s">
        <v>131</v>
      </c>
      <c r="C55" s="2">
        <v>9</v>
      </c>
      <c r="D55" s="2"/>
      <c r="E55" s="2" t="s">
        <v>132</v>
      </c>
      <c r="F55" s="2" t="s">
        <v>133</v>
      </c>
      <c r="G55" s="6" t="s">
        <v>30</v>
      </c>
      <c r="H55" s="2" t="s">
        <v>31</v>
      </c>
      <c r="I55" s="2" t="s">
        <v>82</v>
      </c>
      <c r="J55" s="2">
        <v>15.312</v>
      </c>
      <c r="K55" s="2">
        <v>15</v>
      </c>
      <c r="L55" s="2">
        <v>48</v>
      </c>
      <c r="M55" s="2">
        <v>6</v>
      </c>
      <c r="N55" s="4" t="s">
        <v>33</v>
      </c>
      <c r="O55" s="9" t="s">
        <v>34</v>
      </c>
      <c r="P55" s="2">
        <v>288</v>
      </c>
      <c r="Q55" s="2">
        <v>0</v>
      </c>
      <c r="R55" s="6" t="s">
        <v>34</v>
      </c>
      <c r="S55" s="2"/>
      <c r="T55" s="2">
        <v>14799.81</v>
      </c>
      <c r="U55" s="2">
        <v>1479.98</v>
      </c>
      <c r="V55" s="2"/>
      <c r="W55" s="2"/>
      <c r="X55" s="2"/>
      <c r="Y55" s="2">
        <v>3255.96</v>
      </c>
      <c r="Z55" s="2"/>
      <c r="AA55" s="10">
        <v>19535.75</v>
      </c>
    </row>
    <row r="56" ht="15">
      <c r="A56" s="11"/>
      <c r="B56" s="11"/>
      <c r="C56" s="11"/>
      <c r="D56" s="11"/>
      <c r="E56" s="11"/>
      <c r="F56" s="11" t="s">
        <v>134</v>
      </c>
      <c r="G56" s="11"/>
      <c r="H56" s="11"/>
      <c r="I56" s="11"/>
      <c r="J56" s="11">
        <f>SUM(J55:J55)</f>
        <v>0</v>
      </c>
      <c r="K56" s="11">
        <f>SUM(K55:K55)</f>
        <v>0</v>
      </c>
      <c r="L56" s="11"/>
      <c r="M56" s="11">
        <f>SUM(M55:M55)</f>
        <v>0</v>
      </c>
      <c r="N56" s="12"/>
      <c r="O56" s="14"/>
      <c r="P56" s="11">
        <f>SUM(P55:P55)</f>
        <v>0</v>
      </c>
      <c r="Q56" s="11">
        <f>SUM(Q55:Q55)</f>
        <v>0</v>
      </c>
      <c r="R56" s="11"/>
      <c r="S56" s="11">
        <f>SUM(S55:S55)</f>
        <v>0</v>
      </c>
      <c r="T56" s="11"/>
      <c r="U56" s="11"/>
      <c r="V56" s="11"/>
      <c r="W56" s="11"/>
      <c r="X56" s="11"/>
      <c r="Y56" s="11"/>
      <c r="Z56" s="11"/>
      <c r="AA56" s="1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2026-07-20T16:38:03Z</dcterms:created>
  <dcterms:modified xsi:type="dcterms:W3CDTF">2026-07-20T13:38:03Z</dcterms:modified>
</cp:coreProperties>
</file>