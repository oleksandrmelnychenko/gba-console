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ntel\Desktop\П19 osmanli+mayer+aymeks+fss+remi+NRSP+HP\"/>
    </mc:Choice>
  </mc:AlternateContent>
  <xr:revisionPtr revIDLastSave="0" documentId="13_ncr:1_{A1BFFD7E-4F28-47E5-B49D-608D73D3B06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23" i="1"/>
  <c r="I9" i="1" s="1"/>
  <c r="H19" i="1"/>
  <c r="H22" i="1"/>
  <c r="I22" i="1" s="1"/>
  <c r="R3" i="1"/>
  <c r="H20" i="1" l="1"/>
  <c r="G8" i="1" s="1"/>
  <c r="H7" i="1"/>
  <c r="H8" i="1"/>
  <c r="H9" i="1"/>
  <c r="H10" i="1"/>
  <c r="H11" i="1"/>
  <c r="H5" i="1"/>
  <c r="H6" i="1"/>
  <c r="I5" i="1"/>
  <c r="I11" i="1"/>
  <c r="I10" i="1"/>
  <c r="I8" i="1"/>
  <c r="I7" i="1"/>
  <c r="I6" i="1"/>
  <c r="G10" i="1" l="1"/>
  <c r="J10" i="1" s="1"/>
  <c r="K10" i="1" s="1"/>
  <c r="G6" i="1"/>
  <c r="J6" i="1" s="1"/>
  <c r="K6" i="1" s="1"/>
  <c r="G5" i="1"/>
  <c r="J5" i="1" s="1"/>
  <c r="G11" i="1"/>
  <c r="J11" i="1" s="1"/>
  <c r="K11" i="1" s="1"/>
  <c r="G7" i="1"/>
  <c r="G9" i="1"/>
  <c r="J9" i="1" s="1"/>
  <c r="K9" i="1" s="1"/>
  <c r="J7" i="1"/>
  <c r="K7" i="1" s="1"/>
  <c r="J8" i="1"/>
  <c r="K8" i="1" s="1"/>
  <c r="J12" i="1" l="1"/>
  <c r="K5" i="1"/>
</calcChain>
</file>

<file path=xl/sharedStrings.xml><?xml version="1.0" encoding="utf-8"?>
<sst xmlns="http://schemas.openxmlformats.org/spreadsheetml/2006/main" count="32" uniqueCount="23">
  <si>
    <t>EUR</t>
  </si>
  <si>
    <t>Aymeks Ic ve Dis Tic. Ltd. Sti.</t>
  </si>
  <si>
    <t>F.S.S. FREN SISTEMLERI SAN VE TIC LTD STI</t>
  </si>
  <si>
    <t>HP HAKAN OTOMOTIV SAN. IC VE DIS TIC. LTD. STI. Turkey</t>
  </si>
  <si>
    <t>MAYER OTOMOTİV SANAYİ TİCARET LİMİTED ŞİRKETİ</t>
  </si>
  <si>
    <t>OSMANLI OTOMOTIV SAN. VE DIS TIC.LTD.STI.</t>
  </si>
  <si>
    <t>REMI IC VE DIS TIC.LTD.STI.</t>
  </si>
  <si>
    <t>NRSP OTOMOTIV NAK. TURZ. LTD. STI.</t>
  </si>
  <si>
    <t>авто</t>
  </si>
  <si>
    <t xml:space="preserve">стоянка </t>
  </si>
  <si>
    <t xml:space="preserve">брокер </t>
  </si>
  <si>
    <t xml:space="preserve">тпп </t>
  </si>
  <si>
    <t>Євро</t>
  </si>
  <si>
    <t>Долар США</t>
  </si>
  <si>
    <t>авто+стоянка</t>
  </si>
  <si>
    <t>брокер</t>
  </si>
  <si>
    <t>тпп</t>
  </si>
  <si>
    <t>разом</t>
  </si>
  <si>
    <t xml:space="preserve">% </t>
  </si>
  <si>
    <t>грн</t>
  </si>
  <si>
    <t>УПР ВИТРАТИ</t>
  </si>
  <si>
    <t>БУХ Витрати</t>
  </si>
  <si>
    <t>дол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</si>
</sst>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12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AF5E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" fontId="2" fillId="2" borderId="1" xfId="1" applyNumberFormat="1" applyFont="1" applyFill="1" applyBorder="1" applyAlignment="1">
      <alignment horizontal="right" vertical="top"/>
    </xf>
    <xf numFmtId="0" fontId="2" fillId="2" borderId="1" xfId="1" applyNumberFormat="1" applyFont="1" applyFill="1" applyBorder="1" applyAlignment="1">
      <alignment horizontal="left" vertical="top"/>
    </xf>
    <xf numFmtId="0" fontId="4" fillId="3" borderId="2" xfId="2" applyFill="1" applyBorder="1" applyAlignment="1">
      <alignment horizontal="left" vertical="top" wrapText="1"/>
    </xf>
    <xf numFmtId="0" fontId="3" fillId="3" borderId="3" xfId="0" applyFont="1" applyFill="1" applyBorder="1" applyAlignment="1">
      <alignment vertical="top" wrapText="1"/>
    </xf>
    <xf numFmtId="2" fontId="0" fillId="0" borderId="0" xfId="0" applyNumberFormat="1"/>
    <xf numFmtId="0" fontId="2" fillId="2" borderId="5" xfId="1" applyNumberFormat="1" applyFont="1" applyFill="1" applyBorder="1" applyAlignment="1">
      <alignment horizontal="left" vertical="top"/>
    </xf>
    <xf numFmtId="0" fontId="0" fillId="0" borderId="4" xfId="0" applyBorder="1"/>
    <xf numFmtId="2" fontId="0" fillId="4" borderId="4" xfId="0" applyNumberFormat="1" applyFill="1" applyBorder="1"/>
    <xf numFmtId="0" fontId="0" fillId="0" borderId="4" xfId="0" applyBorder="1" applyAlignment="1">
      <alignment textRotation="74"/>
    </xf>
    <xf numFmtId="2" fontId="0" fillId="4" borderId="4" xfId="0" applyNumberFormat="1" applyFill="1" applyBorder="1" applyAlignment="1">
      <alignment textRotation="74"/>
    </xf>
    <xf numFmtId="0" fontId="0" fillId="4" borderId="0" xfId="0" applyFill="1"/>
  </cellXfs>
  <cellStyles count="3">
    <cellStyle name="Гиперссылка" xfId="2" builtinId="8"/>
    <cellStyle name="Обычный" xfId="0" builtinId="0"/>
    <cellStyle name="Обычный_Лист1" xfId="1" xr:uid="{6776AD47-5B39-4609-926F-7EEE667BD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ank.gov.ua/markets/exchangerate-chart?cn%5b%5d=USD" TargetMode="External"/><Relationship Id="rId1" Type="http://schemas.openxmlformats.org/officeDocument/2006/relationships/hyperlink" Target="https://bank.gov.ua/markets/exchangerate-chart?cn%5b%5d=E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R23"/>
  <sheetViews>
    <sheetView tabSelected="1" workbookViewId="0">
      <selection activeCell="P16" sqref="P16"/>
    </sheetView>
  </sheetViews>
  <sheetFormatPr defaultRowHeight="15" x14ac:dyDescent="0.25"/>
  <cols>
    <col min="4" max="4" width="38.140625" customWidth="1"/>
    <col min="5" max="5" width="12.42578125" customWidth="1"/>
    <col min="6" max="6" width="6.85546875" customWidth="1"/>
    <col min="8" max="8" width="11" customWidth="1"/>
    <col min="10" max="11" width="9.140625" style="5"/>
  </cols>
  <sheetData>
    <row r="1" spans="4:18" ht="15.75" thickBot="1" x14ac:dyDescent="0.3">
      <c r="Q1" s="3" t="s">
        <v>12</v>
      </c>
      <c r="R1" s="4">
        <v>51.0595</v>
      </c>
    </row>
    <row r="2" spans="4:18" ht="30.75" thickBot="1" x14ac:dyDescent="0.3">
      <c r="Q2" s="3" t="s">
        <v>13</v>
      </c>
      <c r="R2" s="4">
        <v>44.6676</v>
      </c>
    </row>
    <row r="3" spans="4:18" x14ac:dyDescent="0.25">
      <c r="R3">
        <f>R1/R2</f>
        <v>1.1430992486724159</v>
      </c>
    </row>
    <row r="4" spans="4:18" ht="68.25" x14ac:dyDescent="0.25">
      <c r="G4" s="9" t="s">
        <v>14</v>
      </c>
      <c r="H4" s="9" t="s">
        <v>15</v>
      </c>
      <c r="I4" s="9" t="s">
        <v>16</v>
      </c>
      <c r="J4" s="10" t="s">
        <v>17</v>
      </c>
      <c r="K4" s="10" t="s">
        <v>18</v>
      </c>
    </row>
    <row r="5" spans="4:18" x14ac:dyDescent="0.25">
      <c r="D5" s="2" t="s">
        <v>1</v>
      </c>
      <c r="E5" s="1">
        <v>5248.5</v>
      </c>
      <c r="F5" s="6" t="s">
        <v>0</v>
      </c>
      <c r="G5" s="7">
        <f>E5*$H$20/SUM($E$5:$E$11)</f>
        <v>74.028458056043547</v>
      </c>
      <c r="H5" s="7">
        <f>$I$22</f>
        <v>72.744263345424741</v>
      </c>
      <c r="I5" s="7">
        <f>$H$23</f>
        <v>23.697842712913367</v>
      </c>
      <c r="J5" s="8">
        <f>SUM(G5:I5)</f>
        <v>170.47056411438166</v>
      </c>
      <c r="K5" s="8">
        <f>J5*100/E5</f>
        <v>3.2479863601863705</v>
      </c>
    </row>
    <row r="6" spans="4:18" x14ac:dyDescent="0.25">
      <c r="D6" s="2" t="s">
        <v>2</v>
      </c>
      <c r="E6" s="1">
        <v>15436.26</v>
      </c>
      <c r="F6" s="6" t="s">
        <v>0</v>
      </c>
      <c r="G6" s="7">
        <f>E6*$H$20/SUM($E$5:$E$11)</f>
        <v>217.72364026906408</v>
      </c>
      <c r="H6" s="7">
        <f>$I$22</f>
        <v>72.744263345424741</v>
      </c>
      <c r="I6" s="7">
        <f>$H$23</f>
        <v>23.697842712913367</v>
      </c>
      <c r="J6" s="8">
        <f t="shared" ref="J6:J11" si="0">SUM(G6:I6)</f>
        <v>314.16574632740219</v>
      </c>
      <c r="K6" s="8">
        <f t="shared" ref="K6:K11" si="1">J6*100/E6</f>
        <v>2.0352452363940632</v>
      </c>
    </row>
    <row r="7" spans="4:18" x14ac:dyDescent="0.25">
      <c r="D7" s="2" t="s">
        <v>3</v>
      </c>
      <c r="E7" s="1">
        <v>14841.69</v>
      </c>
      <c r="F7" s="6" t="s">
        <v>0</v>
      </c>
      <c r="G7" s="7">
        <f>E7*$H$20/SUM($E$5:$E$11)</f>
        <v>209.33741557507878</v>
      </c>
      <c r="H7" s="7">
        <f>$I$22</f>
        <v>72.744263345424741</v>
      </c>
      <c r="I7" s="7">
        <f>$H$23</f>
        <v>23.697842712913367</v>
      </c>
      <c r="J7" s="8">
        <f t="shared" si="0"/>
        <v>305.77952163341689</v>
      </c>
      <c r="K7" s="8">
        <f t="shared" si="1"/>
        <v>2.0602742789629542</v>
      </c>
    </row>
    <row r="8" spans="4:18" x14ac:dyDescent="0.25">
      <c r="D8" s="2" t="s">
        <v>4</v>
      </c>
      <c r="E8" s="1">
        <v>8687.2999999999993</v>
      </c>
      <c r="F8" s="6" t="s">
        <v>0</v>
      </c>
      <c r="G8" s="7">
        <f>E8*$H$20/SUM($E$5:$E$11)</f>
        <v>122.53166117371954</v>
      </c>
      <c r="H8" s="7">
        <f>$I$22</f>
        <v>72.744263345424741</v>
      </c>
      <c r="I8" s="7">
        <f>$H$23</f>
        <v>23.697842712913367</v>
      </c>
      <c r="J8" s="8">
        <f t="shared" si="0"/>
        <v>218.97376723205764</v>
      </c>
      <c r="K8" s="8">
        <f t="shared" si="1"/>
        <v>2.5206193780813102</v>
      </c>
    </row>
    <row r="9" spans="4:18" x14ac:dyDescent="0.25">
      <c r="D9" s="2" t="s">
        <v>5</v>
      </c>
      <c r="E9" s="1">
        <v>11289.7</v>
      </c>
      <c r="F9" s="6" t="s">
        <v>0</v>
      </c>
      <c r="G9" s="7">
        <f>E9*$H$20/SUM($E$5:$E$11)</f>
        <v>159.23770275608553</v>
      </c>
      <c r="H9" s="7">
        <f>$I$22</f>
        <v>72.744263345424741</v>
      </c>
      <c r="I9" s="7">
        <f>$H$23</f>
        <v>23.697842712913367</v>
      </c>
      <c r="J9" s="8">
        <f t="shared" si="0"/>
        <v>255.67980881442364</v>
      </c>
      <c r="K9" s="8">
        <f t="shared" si="1"/>
        <v>2.2647174753485357</v>
      </c>
    </row>
    <row r="10" spans="4:18" x14ac:dyDescent="0.25">
      <c r="D10" s="2" t="s">
        <v>6</v>
      </c>
      <c r="E10" s="1">
        <v>21043</v>
      </c>
      <c r="F10" s="6" t="s">
        <v>0</v>
      </c>
      <c r="G10" s="7">
        <f>E10*$H$20/SUM($E$5:$E$11)</f>
        <v>296.80496196500417</v>
      </c>
      <c r="H10" s="7">
        <f>$I$22</f>
        <v>72.744263345424741</v>
      </c>
      <c r="I10" s="7">
        <f>$H$23</f>
        <v>23.697842712913367</v>
      </c>
      <c r="J10" s="8">
        <f t="shared" si="0"/>
        <v>393.24706802334231</v>
      </c>
      <c r="K10" s="8">
        <f t="shared" si="1"/>
        <v>1.8687785392926022</v>
      </c>
    </row>
    <row r="11" spans="4:18" x14ac:dyDescent="0.25">
      <c r="D11" s="2" t="s">
        <v>7</v>
      </c>
      <c r="E11" s="1">
        <v>12201.9</v>
      </c>
      <c r="F11" s="6" t="s">
        <v>0</v>
      </c>
      <c r="G11" s="7">
        <f>E11*$H$20/SUM($E$5:$E$11)</f>
        <v>172.10399968639376</v>
      </c>
      <c r="H11" s="7">
        <f>$I$22</f>
        <v>72.744263345424741</v>
      </c>
      <c r="I11" s="7">
        <f>$H$23</f>
        <v>23.697842712913367</v>
      </c>
      <c r="J11" s="8">
        <f t="shared" si="0"/>
        <v>268.54610574473185</v>
      </c>
      <c r="K11" s="8">
        <f t="shared" si="1"/>
        <v>2.2008548319911805</v>
      </c>
    </row>
    <row r="12" spans="4:18" x14ac:dyDescent="0.25">
      <c r="J12" s="5">
        <f>SUM(J5:J11)</f>
        <v>1926.8625818897563</v>
      </c>
    </row>
    <row r="17" spans="4:12" x14ac:dyDescent="0.25">
      <c r="D17" s="11" t="s">
        <v>20</v>
      </c>
    </row>
    <row r="18" spans="4:12" x14ac:dyDescent="0.25">
      <c r="D18" s="11" t="s">
        <v>8</v>
      </c>
      <c r="E18" s="11">
        <v>1400</v>
      </c>
      <c r="F18" s="11" t="s">
        <v>22</v>
      </c>
      <c r="H18">
        <f>E18/R3</f>
        <v>1224.7405477922814</v>
      </c>
      <c r="J18" s="11" t="s">
        <v>21</v>
      </c>
      <c r="K18" s="11">
        <v>102920</v>
      </c>
      <c r="L18" s="11" t="s">
        <v>19</v>
      </c>
    </row>
    <row r="19" spans="4:12" x14ac:dyDescent="0.25">
      <c r="D19" s="11" t="s">
        <v>9</v>
      </c>
      <c r="E19" s="11">
        <v>1380</v>
      </c>
      <c r="F19" s="11" t="s">
        <v>19</v>
      </c>
      <c r="H19">
        <f>E19/R1</f>
        <v>27.027291689107805</v>
      </c>
      <c r="J19"/>
      <c r="K19"/>
      <c r="L19" s="5"/>
    </row>
    <row r="20" spans="4:12" x14ac:dyDescent="0.25">
      <c r="D20" s="11"/>
      <c r="E20" s="11"/>
      <c r="F20" s="11"/>
      <c r="H20">
        <f>SUM(H18:H19)</f>
        <v>1251.7678394813893</v>
      </c>
      <c r="J20"/>
      <c r="K20"/>
      <c r="L20" s="5"/>
    </row>
    <row r="21" spans="4:12" x14ac:dyDescent="0.25">
      <c r="D21" s="11"/>
      <c r="E21" s="11"/>
      <c r="F21" s="11"/>
      <c r="J21"/>
      <c r="K21"/>
      <c r="L21" s="5"/>
    </row>
    <row r="22" spans="4:12" x14ac:dyDescent="0.25">
      <c r="D22" s="11" t="s">
        <v>10</v>
      </c>
      <c r="E22" s="11">
        <v>26000</v>
      </c>
      <c r="F22" s="11" t="s">
        <v>19</v>
      </c>
      <c r="H22">
        <f>E22/7</f>
        <v>3714.2857142857142</v>
      </c>
      <c r="I22">
        <f>H22/R1</f>
        <v>72.744263345424741</v>
      </c>
      <c r="J22"/>
      <c r="K22"/>
      <c r="L22" s="5"/>
    </row>
    <row r="23" spans="4:12" x14ac:dyDescent="0.25">
      <c r="D23" s="11" t="s">
        <v>11</v>
      </c>
      <c r="E23" s="11">
        <v>1210</v>
      </c>
      <c r="F23" s="11" t="s">
        <v>19</v>
      </c>
      <c r="H23">
        <f>E23/R1</f>
        <v>23.697842712913367</v>
      </c>
      <c r="J23"/>
      <c r="K23"/>
      <c r="L23" s="5"/>
    </row>
  </sheetData>
  <hyperlinks>
    <hyperlink ref="Q1" r:id="rId1" display="https://bank.gov.ua/markets/exchangerate-chart?cn%5b%5d=EUR" xr:uid="{5ED8F449-6217-4A5A-ABAD-098C7C82EB21}"/>
    <hyperlink ref="Q2" r:id="rId2" display="https://bank.gov.ua/markets/exchangerate-chart?cn%5b%5d=USD" xr:uid="{1C743AC0-29CD-4905-83B6-2B6410A1379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Грель Христина Сергіївна</dc:creator>
  <cp:lastModifiedBy>Intel</cp:lastModifiedBy>
  <dcterms:created xsi:type="dcterms:W3CDTF">2015-06-05T18:19:34Z</dcterms:created>
  <dcterms:modified xsi:type="dcterms:W3CDTF">2026-07-22T10:52:09Z</dcterms:modified>
</cp:coreProperties>
</file>