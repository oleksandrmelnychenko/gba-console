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9"/>
  <workbookPr defaultThemeVersion="124226"/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<sst xmlns="http://schemas.openxmlformats.org/spreadsheetml/2006/main" count="301">
  <si>
    <t>Список товарів електронного інвойсу МД № 26UA400040014351U3 від 20.07.2026</t>
  </si>
  <si>
    <t>№
з/п</t>
  </si>
  <si>
    <t>Код товару</t>
  </si>
  <si>
    <t>№ в МД</t>
  </si>
  <si>
    <t>№ в інв.</t>
  </si>
  <si>
    <t>Артикул</t>
  </si>
  <si>
    <t>Назва товару</t>
  </si>
  <si>
    <t>Країна</t>
  </si>
  <si>
    <t>Виробник</t>
  </si>
  <si>
    <t>Торг.марка</t>
  </si>
  <si>
    <t>Маса брутто</t>
  </si>
  <si>
    <t>Маса нетто</t>
  </si>
  <si>
    <t>Ціна</t>
  </si>
  <si>
    <t>Кіл-ть</t>
  </si>
  <si>
    <t>Од.</t>
  </si>
  <si>
    <t>вим.</t>
  </si>
  <si>
    <t>Вартість</t>
  </si>
  <si>
    <t>Кіл-ть у ДОВ</t>
  </si>
  <si>
    <t>Код ДОВ</t>
  </si>
  <si>
    <t>Чиста вага</t>
  </si>
  <si>
    <t>Митна вартість</t>
  </si>
  <si>
    <t>Мито</t>
  </si>
  <si>
    <t>СО</t>
  </si>
  <si>
    <t>Дод.мита та надбавки</t>
  </si>
  <si>
    <t>Акциз</t>
  </si>
  <si>
    <t>ПДВ</t>
  </si>
  <si>
    <t>Собівартість</t>
  </si>
  <si>
    <t>8708309198</t>
  </si>
  <si>
    <t>6001-01</t>
  </si>
  <si>
    <t xml:space="preserve">Комплект пиловиків супорта гальмівного-20шт, </t>
  </si>
  <si>
    <t>TR</t>
  </si>
  <si>
    <t>REMI IC VE DIS TIC.LTD.STI.</t>
  </si>
  <si>
    <t>MAY</t>
  </si>
  <si>
    <t>796</t>
  </si>
  <si>
    <t/>
  </si>
  <si>
    <t>6001-06</t>
  </si>
  <si>
    <t xml:space="preserve">Комплект пиловиків супорта-27шт, </t>
  </si>
  <si>
    <t>6002-01</t>
  </si>
  <si>
    <t xml:space="preserve">Комплект ремонтний напрямних супорта гальмівного-20шт, </t>
  </si>
  <si>
    <t>6002-02</t>
  </si>
  <si>
    <t xml:space="preserve">Комплект ремонтний напрямних супорта гальмівного-10шт, </t>
  </si>
  <si>
    <t>6002-09</t>
  </si>
  <si>
    <t>6002-21</t>
  </si>
  <si>
    <t xml:space="preserve">Комплект ремонтний напрямних супорта гальмівного-80шт, </t>
  </si>
  <si>
    <t>6002-22</t>
  </si>
  <si>
    <t xml:space="preserve">Комплект ремонтний напрямних супорта гальмівного-30шт, </t>
  </si>
  <si>
    <t>6002-24</t>
  </si>
  <si>
    <t xml:space="preserve">Комплект ремонтний напрямних супорта гальмівного-150шт, </t>
  </si>
  <si>
    <t>6002-25</t>
  </si>
  <si>
    <t xml:space="preserve">Комплект кришок супорта гальмівного метал-200шт, </t>
  </si>
  <si>
    <t>6002-36</t>
  </si>
  <si>
    <t xml:space="preserve">Комплект ремонтний напрямних супорта гальмівного-26шт, </t>
  </si>
  <si>
    <t>6002-40</t>
  </si>
  <si>
    <t xml:space="preserve">Комплект ремонтний напрямних супорта гальмівного-5шт, </t>
  </si>
  <si>
    <t>6002-45</t>
  </si>
  <si>
    <t xml:space="preserve">Комплект ремонтний напрямних супорта гальмівного-25шт, </t>
  </si>
  <si>
    <t>6002-46</t>
  </si>
  <si>
    <t xml:space="preserve">Комплект ремонтний напрямних супорта гальмівного-6шт, </t>
  </si>
  <si>
    <t>6004-09</t>
  </si>
  <si>
    <t xml:space="preserve">Вал приводу супорта турмозного-20шт, </t>
  </si>
  <si>
    <t>6004-11</t>
  </si>
  <si>
    <t xml:space="preserve">Комплект ремонтний супорта гальмівного-80шт, </t>
  </si>
  <si>
    <t>6006-02</t>
  </si>
  <si>
    <t xml:space="preserve">Блок приводу супорта гальмівного метал-5шт, </t>
  </si>
  <si>
    <t>6006-04</t>
  </si>
  <si>
    <t xml:space="preserve">Комплект ремонтний блоку приводу супорта гальмівного метал-10шт, </t>
  </si>
  <si>
    <t>6007-01</t>
  </si>
  <si>
    <t xml:space="preserve">Комплект ремонтний підшипника супорта гальмівного-200шт, </t>
  </si>
  <si>
    <t>6007-03</t>
  </si>
  <si>
    <t xml:space="preserve">Комплект ремонтний підшипника супорта гальмівного-30шт, </t>
  </si>
  <si>
    <t>6007-04</t>
  </si>
  <si>
    <t xml:space="preserve">Комплект ремонтний підшипника супорта гальмівного-20шт, </t>
  </si>
  <si>
    <t>6009-01</t>
  </si>
  <si>
    <t xml:space="preserve">Кришка супорта гальмівного пластик-40шт, </t>
  </si>
  <si>
    <t>6009-07-31</t>
  </si>
  <si>
    <t xml:space="preserve">Кришка супорта гальмівного пластик-10шт, </t>
  </si>
  <si>
    <t>6010-02</t>
  </si>
  <si>
    <t xml:space="preserve">Важіль супорта гальмівного метал-10шт, </t>
  </si>
  <si>
    <t>6010-07</t>
  </si>
  <si>
    <t xml:space="preserve">Важіль супорта гальмівного метал-15шт, </t>
  </si>
  <si>
    <t>6010-10</t>
  </si>
  <si>
    <t xml:space="preserve">Важіль супорта гальмівного метал-20шт, </t>
  </si>
  <si>
    <t>6010-12</t>
  </si>
  <si>
    <t>6015-01</t>
  </si>
  <si>
    <t xml:space="preserve">Кришка супорта супорта гальмівного з болтами метал-9шт, </t>
  </si>
  <si>
    <t>6015-02</t>
  </si>
  <si>
    <t xml:space="preserve">Кришка супорта з болтами-10шт, </t>
  </si>
  <si>
    <t>6150-04</t>
  </si>
  <si>
    <t xml:space="preserve">Комплект пиловиків штовхача супорта гальмівного-20шт, </t>
  </si>
  <si>
    <t>6158-03</t>
  </si>
  <si>
    <t xml:space="preserve">Комплект сальників супорта-2шт, </t>
  </si>
  <si>
    <t>6175-04</t>
  </si>
  <si>
    <t xml:space="preserve">Комплект вкладок супорта-5шт, </t>
  </si>
  <si>
    <t>6180-02</t>
  </si>
  <si>
    <t xml:space="preserve">Вал супорта-4шт, </t>
  </si>
  <si>
    <t>6200-06</t>
  </si>
  <si>
    <t xml:space="preserve">Комплект ремонтний направляючих-6шт, </t>
  </si>
  <si>
    <t>6200-08</t>
  </si>
  <si>
    <t xml:space="preserve">Комплект пиловиків супорта гальмівного-10шт, </t>
  </si>
  <si>
    <t>6203-01</t>
  </si>
  <si>
    <t>6203-05</t>
  </si>
  <si>
    <t xml:space="preserve">Комплект ремонтний підшипника супорта гальмівного-10шт, </t>
  </si>
  <si>
    <t>6208-07</t>
  </si>
  <si>
    <t xml:space="preserve">Комплект ремонтний механізму приводу супорта гальмівного-10шт, </t>
  </si>
  <si>
    <t>6300-05</t>
  </si>
  <si>
    <t xml:space="preserve">Комплект пиловиків супорта-10шт, </t>
  </si>
  <si>
    <t>6700-02</t>
  </si>
  <si>
    <t xml:space="preserve">Комплект ремонтний супорта гальмівного-6шт, </t>
  </si>
  <si>
    <t>6702-06</t>
  </si>
  <si>
    <t xml:space="preserve">Комплект ремонтний супорта гальмівного-10шт, </t>
  </si>
  <si>
    <t>6707-01</t>
  </si>
  <si>
    <t xml:space="preserve">Кришка супорта-4шт, </t>
  </si>
  <si>
    <t>8000-01</t>
  </si>
  <si>
    <t xml:space="preserve">Комплект пиловиків супорта-4шт, </t>
  </si>
  <si>
    <t>8000-02-S</t>
  </si>
  <si>
    <t xml:space="preserve">Комплект ремонтний поршня супорта гальмівного-50шт, </t>
  </si>
  <si>
    <t>8100-01</t>
  </si>
  <si>
    <t>8500-22</t>
  </si>
  <si>
    <t xml:space="preserve">Комплект пиловиків саморегулятора-5шт, </t>
  </si>
  <si>
    <t xml:space="preserve">Разом по товару МД № 1</t>
  </si>
  <si>
    <t>4016930090</t>
  </si>
  <si>
    <t>2444-А</t>
  </si>
  <si>
    <t xml:space="preserve">Комплект ремонтний клапана обмеження тиску-30шт, </t>
  </si>
  <si>
    <t>2450-A</t>
  </si>
  <si>
    <t xml:space="preserve">Комплект ремонтний крана підйому кабіни-2шт, </t>
  </si>
  <si>
    <t>2501-F</t>
  </si>
  <si>
    <t xml:space="preserve">Комплект ремонтний  блока ELC-10шт, </t>
  </si>
  <si>
    <t>2554-DC</t>
  </si>
  <si>
    <t xml:space="preserve">Комплект ремонтний блоку управління АКПП-40шт, </t>
  </si>
  <si>
    <t>2554-DF</t>
  </si>
  <si>
    <t xml:space="preserve">Комплект ремонтний блоку керування АКПП-10шт, </t>
  </si>
  <si>
    <t>KA-0884</t>
  </si>
  <si>
    <t xml:space="preserve">Пиловик супорта-15шт, </t>
  </si>
  <si>
    <t xml:space="preserve">Разом по товару МД № 2</t>
  </si>
  <si>
    <t>4016995290</t>
  </si>
  <si>
    <t>2163-G</t>
  </si>
  <si>
    <t xml:space="preserve">Комплект ремонтний крана підйому платформи-10шт, </t>
  </si>
  <si>
    <t>2446-C</t>
  </si>
  <si>
    <t xml:space="preserve">Комплект ремонтний клапана електромагнітного-20шт, </t>
  </si>
  <si>
    <t>2446-CK</t>
  </si>
  <si>
    <t xml:space="preserve">Комплект ремонтний клапана електромагнітного-10шт, </t>
  </si>
  <si>
    <t>2463-D</t>
  </si>
  <si>
    <t xml:space="preserve">Комплект ремонтний клапана магістрального-15шт, </t>
  </si>
  <si>
    <t>2478-CP</t>
  </si>
  <si>
    <t xml:space="preserve">Комплект ремонтний клапана прискорювального-10шт, </t>
  </si>
  <si>
    <t xml:space="preserve">Разом по товару МД № 3</t>
  </si>
  <si>
    <t>7307991090</t>
  </si>
  <si>
    <t>2519-R</t>
  </si>
  <si>
    <t xml:space="preserve">Перехідник-8шт, </t>
  </si>
  <si>
    <t xml:space="preserve">Разом по товару МД № 4</t>
  </si>
  <si>
    <t>7318154290</t>
  </si>
  <si>
    <t>6008-01</t>
  </si>
  <si>
    <t xml:space="preserve">Болт калібрувальний супорта гальмівного метал-50шт, </t>
  </si>
  <si>
    <t xml:space="preserve">Разом по товару МД № 5</t>
  </si>
  <si>
    <t>7318159590</t>
  </si>
  <si>
    <t>6202-09</t>
  </si>
  <si>
    <t xml:space="preserve">Болт калібрувальний с штирем-5шт, </t>
  </si>
  <si>
    <t xml:space="preserve">Разом по товару МД № 6</t>
  </si>
  <si>
    <t>7318169990</t>
  </si>
  <si>
    <t>6011-01</t>
  </si>
  <si>
    <t xml:space="preserve">Комплект гайок калібрувальних супорта гальмівного метал-20шт, </t>
  </si>
  <si>
    <t xml:space="preserve">Разом по товару МД № 7</t>
  </si>
  <si>
    <t>8481109900</t>
  </si>
  <si>
    <t>2422-03</t>
  </si>
  <si>
    <t xml:space="preserve">Клапан регулювання тиску-2шт, </t>
  </si>
  <si>
    <t>2444-63</t>
  </si>
  <si>
    <t xml:space="preserve">Клапан обмеження тиску-2шт, </t>
  </si>
  <si>
    <t>2546-01</t>
  </si>
  <si>
    <t xml:space="preserve">Разом по товару МД № 8</t>
  </si>
  <si>
    <t>8481209000</t>
  </si>
  <si>
    <t>2434-03</t>
  </si>
  <si>
    <t xml:space="preserve">Кран рівня підлоги пневматичний-10шт, </t>
  </si>
  <si>
    <t>2450-11</t>
  </si>
  <si>
    <t xml:space="preserve">Кран підйому кабіни-2шт, </t>
  </si>
  <si>
    <t>2491-62</t>
  </si>
  <si>
    <t xml:space="preserve">Клапан ECAS-2шт, </t>
  </si>
  <si>
    <t>2531-02</t>
  </si>
  <si>
    <t xml:space="preserve">Кран підйому осі-4шт, </t>
  </si>
  <si>
    <t xml:space="preserve">Разом по товару МД № 9</t>
  </si>
  <si>
    <t>8481809900</t>
  </si>
  <si>
    <t>2810-64</t>
  </si>
  <si>
    <t xml:space="preserve">Вологовіддільник-3шт, </t>
  </si>
  <si>
    <t>2820-01</t>
  </si>
  <si>
    <t xml:space="preserve">Вологовіддільник системи підготовки повітря-2шт, </t>
  </si>
  <si>
    <t>2822-01</t>
  </si>
  <si>
    <t xml:space="preserve">Вологовіддільник-8шт, </t>
  </si>
  <si>
    <t xml:space="preserve">Разом по товару МД № 10</t>
  </si>
  <si>
    <t>8481900000</t>
  </si>
  <si>
    <t>2454-A</t>
  </si>
  <si>
    <t xml:space="preserve">Комплект ремонтний клапана захисного-17шт, </t>
  </si>
  <si>
    <t>2472-A</t>
  </si>
  <si>
    <t xml:space="preserve">Комплект ремонтний клапана обмеження тиску-10шт, </t>
  </si>
  <si>
    <t>2491-R</t>
  </si>
  <si>
    <t xml:space="preserve">Комплект ремонтний клапана  ECAS-60шт, </t>
  </si>
  <si>
    <t>2491-RA</t>
  </si>
  <si>
    <t xml:space="preserve">Комплект ремонтний клапана  ECAS-35шт, </t>
  </si>
  <si>
    <t>2814-D</t>
  </si>
  <si>
    <t xml:space="preserve">Комплект ремонтний вологовіддільника-1шт, </t>
  </si>
  <si>
    <t>2818-BK</t>
  </si>
  <si>
    <t xml:space="preserve">Комплект ремонтний вологовіддільника-15шт, </t>
  </si>
  <si>
    <t>2819-B</t>
  </si>
  <si>
    <t xml:space="preserve">Комплект ремонтний вологовіддільника-30шт, </t>
  </si>
  <si>
    <t>2820-A</t>
  </si>
  <si>
    <t>2820.G</t>
  </si>
  <si>
    <t xml:space="preserve">Комплект ремонтний вологовіддільника-10шт, </t>
  </si>
  <si>
    <t>2820-GК</t>
  </si>
  <si>
    <t>2822-C</t>
  </si>
  <si>
    <t xml:space="preserve">Комплект ремонтний вологовіддільника-20шт, </t>
  </si>
  <si>
    <t>2825-AB</t>
  </si>
  <si>
    <t xml:space="preserve">Разом по товару МД № 11</t>
  </si>
  <si>
    <t>8505902910</t>
  </si>
  <si>
    <t>ЕS-015-04</t>
  </si>
  <si>
    <t xml:space="preserve">Клапан магнітний-30шт, </t>
  </si>
  <si>
    <t xml:space="preserve">Разом по товару МД № 12</t>
  </si>
  <si>
    <t>8516808090</t>
  </si>
  <si>
    <t>2811-S</t>
  </si>
  <si>
    <t xml:space="preserve">Підігрів вологовіддільника-10шт, </t>
  </si>
  <si>
    <t xml:space="preserve">Разом по товару МД № 13</t>
  </si>
  <si>
    <t>8538909900</t>
  </si>
  <si>
    <t>2554-BK</t>
  </si>
  <si>
    <t xml:space="preserve">Комплект ремонтний блоку управління АКПП-3шт, </t>
  </si>
  <si>
    <t xml:space="preserve">Разом по товару МД № 14</t>
  </si>
  <si>
    <t>8708309998</t>
  </si>
  <si>
    <t>2003-А</t>
  </si>
  <si>
    <t xml:space="preserve">Комплект ремонтний крана гальмівного головного-10шт, </t>
  </si>
  <si>
    <t>2003 -D</t>
  </si>
  <si>
    <t>2003 -L</t>
  </si>
  <si>
    <t>2026-B</t>
  </si>
  <si>
    <t xml:space="preserve">Комплект ремонтний крана гальмівного-2шт, </t>
  </si>
  <si>
    <t>2027-ЕK</t>
  </si>
  <si>
    <t xml:space="preserve">Комплект ремонтний модуля керування EBS-30шт, </t>
  </si>
  <si>
    <t>2027-GВ</t>
  </si>
  <si>
    <t xml:space="preserve">Комплект клапанов модуля EBS-2шт, </t>
  </si>
  <si>
    <t>2028 -07</t>
  </si>
  <si>
    <t xml:space="preserve">Кран гальмівний головний-3шт, </t>
  </si>
  <si>
    <t>2153- 18</t>
  </si>
  <si>
    <t xml:space="preserve">Кран стоянкових гальм пневматичний-2шт, </t>
  </si>
  <si>
    <t>2155-A</t>
  </si>
  <si>
    <t xml:space="preserve">Комплект ремонтний крана гальм стояночних-10шт, </t>
  </si>
  <si>
    <t>2161-27</t>
  </si>
  <si>
    <t xml:space="preserve">Кран гальмівний ручний-2шт, </t>
  </si>
  <si>
    <t>2161-31</t>
  </si>
  <si>
    <t xml:space="preserve">Кран стоянкових гальм-3шт, </t>
  </si>
  <si>
    <t>2401-01</t>
  </si>
  <si>
    <t xml:space="preserve">Кран причіпу гальмівний-4шт, </t>
  </si>
  <si>
    <t>2401-02</t>
  </si>
  <si>
    <t xml:space="preserve">Кран причіпу гальмівний-3шт, </t>
  </si>
  <si>
    <t>2401-FC</t>
  </si>
  <si>
    <t xml:space="preserve">Комплект ремонтний крана гальмівного-15шт, </t>
  </si>
  <si>
    <t>2441-C</t>
  </si>
  <si>
    <t xml:space="preserve">Комплект ремонтний регулятора гальмівних зусиль-15шт, </t>
  </si>
  <si>
    <t>2449-11</t>
  </si>
  <si>
    <t xml:space="preserve">Клапан розгальмовування аварійного-5шт, </t>
  </si>
  <si>
    <t>2454-17</t>
  </si>
  <si>
    <t xml:space="preserve">Клапан захисний чотирьохконтурний-2шт, </t>
  </si>
  <si>
    <t>2490-A</t>
  </si>
  <si>
    <t xml:space="preserve">Комплект ремонтний крана причіпу гальмівного-20шт, </t>
  </si>
  <si>
    <t>2490-BK</t>
  </si>
  <si>
    <t xml:space="preserve">Комплект ремонтний крана причіпу гальмівного-4шт, </t>
  </si>
  <si>
    <t>2511-AG</t>
  </si>
  <si>
    <t xml:space="preserve">Кришка EBS модулятора причіпу метал-10шт, </t>
  </si>
  <si>
    <t>2511-BK</t>
  </si>
  <si>
    <t xml:space="preserve">Комплект ремонтний модулятора ABS-30шт, </t>
  </si>
  <si>
    <t>2511-C</t>
  </si>
  <si>
    <t xml:space="preserve">Комплект ремонтний модуля керування EBS-10шт, </t>
  </si>
  <si>
    <t>2513-HA</t>
  </si>
  <si>
    <t>2519-C</t>
  </si>
  <si>
    <t>GО-1394</t>
  </si>
  <si>
    <t xml:space="preserve">Корпус модулятора EBS-23шт, </t>
  </si>
  <si>
    <t xml:space="preserve">Разом по товару МД № 15</t>
  </si>
  <si>
    <t>8708409998</t>
  </si>
  <si>
    <t>3034-02</t>
  </si>
  <si>
    <t xml:space="preserve">Циліндр КПШ-2шт, </t>
  </si>
  <si>
    <t xml:space="preserve">Разом по товару МД № 16</t>
  </si>
  <si>
    <t>8708939098</t>
  </si>
  <si>
    <t>3010-36</t>
  </si>
  <si>
    <t xml:space="preserve">Пневмогідропідсилювач зчеплення-2шт, </t>
  </si>
  <si>
    <t>3010-PF</t>
  </si>
  <si>
    <t xml:space="preserve">Комплект ремонтний пневмогідропідсилювача-10шт, </t>
  </si>
  <si>
    <t>3010-R</t>
  </si>
  <si>
    <t>3021-10</t>
  </si>
  <si>
    <t xml:space="preserve">Пневмогідропідсилювач зчеплення-3шт, </t>
  </si>
  <si>
    <t>3031-D</t>
  </si>
  <si>
    <t xml:space="preserve">Комплект ремонтний ПГП-10шт, </t>
  </si>
  <si>
    <t>3032-29</t>
  </si>
  <si>
    <t xml:space="preserve">Циліндр зчеплення-2шт, </t>
  </si>
  <si>
    <t>3039-01</t>
  </si>
  <si>
    <t xml:space="preserve">Циліндр зчеплення-6шт, </t>
  </si>
  <si>
    <t xml:space="preserve">Разом по товару МД № 17</t>
  </si>
  <si>
    <t>9026202000</t>
  </si>
  <si>
    <t>BS-0010</t>
  </si>
  <si>
    <t xml:space="preserve">Датчик тиску-4шт, </t>
  </si>
  <si>
    <t>BS-0018</t>
  </si>
  <si>
    <t xml:space="preserve">Датчик тиску-5шт, </t>
  </si>
  <si>
    <t>BS-0028</t>
  </si>
  <si>
    <t xml:space="preserve">Датчик тиску-20шт, </t>
  </si>
  <si>
    <t xml:space="preserve">Разом по товару МД № 18</t>
  </si>
  <si>
    <t>9026208000</t>
  </si>
  <si>
    <t>BS-0013</t>
  </si>
  <si>
    <t xml:space="preserve">Датчик тиску-15шт, </t>
  </si>
  <si>
    <t xml:space="preserve">Разом по товару МД № 19</t>
  </si>
</sst>
</file>

<file path=xl/styles.xml><?xml version="1.0" encoding="utf-8"?>
<styleSheet xmlns="http://schemas.openxmlformats.org/spreadsheetml/2006/main">
  <numFmts count="1">
    <numFmt numFmtId="50" formatCode="#,0.00##"/>
  </numFmts>
  <fonts count="3">
    <font>
      <name val="Times New Roman"/>
      <family val="2"/>
      <color theme="1"/>
      <sz val="10"/>
      <scheme val="minor"/>
    </font>
    <font>
      <name val="Times New Roman"/>
      <b/>
      <color rgb="080000"/>
      <sz val="16"/>
    </font>
    <font>
      <name val="Times New Roman"/>
      <family val="2"/>
      <color rgb="FF0000"/>
      <sz val="10"/>
      <scheme val="minor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42"/>
        <bgColor auto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5">
    <xf numFmtId="0" fontId="0" fillId="0" borderId="0" xfId="0"/>
    <xf numFmtId="0" fontId="1" fillId="0" borderId="0" xfId="0" applyFont="1"/>
    <xf numFmtId="0" fontId="0" fillId="0" borderId="4" xfId="0" applyBorder="1" applyAlignment="1"/>
    <xf numFmtId="0" fontId="0" fillId="2" borderId="1" xfId="0" applyFill="1" applyBorder="1" applyAlignment="1">
      <alignment horizontal="center" vertical="top" wrapText="1"/>
    </xf>
    <xf numFmtId="0" fontId="0" fillId="0" borderId="5" xfId="0" applyNumberFormat="1" applyAlignment="1">
      <alignment horizontal="center" vertical="top"/>
    </xf>
    <xf numFmtId="0" fontId="0" fillId="0" borderId="3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2" xfId="0" applyAlignment="1">
      <alignment horizontal="center" vertical="top" wrapText="1"/>
    </xf>
    <xf>
      <protection locked="0"/>
    </xf>
    <xf numFmtId="0" fontId="0" fillId="0" borderId="6" xfId="0" applyBorder="1"/>
    <xf numFmtId="50" fontId="0" fillId="0" borderId="4" xfId="0" applyBorder="1"/>
    <xf numFmtId="0" fontId="0" fillId="3" borderId="7" xfId="0" applyBorder="1"/>
    <xf numFmtId="0" fontId="0" fillId="3" borderId="8" xfId="0" applyBorder="1"/>
    <xf numFmtId="0" fontId="2" fillId="0" borderId="4" xfId="0" applyBorder="1"/>
    <xf numFmtId="0" fontId="0" fillId="3" borderId="9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A145"/>
  <cols>
    <col min="1" max="1" width="3.90625" customWidth="1"/>
    <col min="2" max="2" width="11.71875" customWidth="1"/>
    <col min="3" max="3" width="4.6875" customWidth="1"/>
    <col min="4" max="4" width="3.90625" customWidth="1"/>
    <col min="5" max="5" width="15.625" customWidth="1"/>
    <col min="6" max="6" width="39.0625" customWidth="1"/>
    <col min="7" max="7" width="6.25" customWidth="1"/>
    <col min="8" max="9" width="19.53125" customWidth="1"/>
    <col min="10" max="12" width="11.328125" customWidth="1"/>
    <col min="13" max="13" width="11.71875" customWidth="1"/>
    <col min="14" max="15" width="7.8125" customWidth="1"/>
    <col min="16" max="16" width="11.71875" customWidth="1"/>
    <col min="18" max="18" width="11.71875" customWidth="1"/>
    <col min="19" max="19" width="11.71875" customWidth="1"/>
    <col min="20" max="20" width="11.71875" customWidth="1"/>
    <col min="21" max="21" width="11.71875" customWidth="1"/>
    <col min="22" max="22" width="3.90625" customWidth="1"/>
    <col min="23" max="23" width="11.71875" customWidth="1"/>
    <col min="24" max="24" width="11.71875" customWidth="1"/>
    <col min="25" max="25" width="11.71875" customWidth="1"/>
    <col min="26" max="26" width="3.90625" customWidth="1"/>
    <col min="27" max="27" width="13.671875" customWidth="1"/>
  </cols>
  <sheetData>
    <row r="2" ht="15">
      <c r="D2" s="1" t="s">
        <v>0</v>
      </c>
    </row>
    <row r="4" ht="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7" t="s">
        <v>14</v>
      </c>
      <c r="O4" s="5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22</v>
      </c>
      <c r="AA4" s="3" t="s">
        <v>26</v>
      </c>
    </row>
    <row r="5" ht="15">
      <c r="A5">
        <v>1</v>
      </c>
      <c r="B5" s="6" t="s">
        <v>27</v>
      </c>
      <c r="C5" s="2">
        <v>1</v>
      </c>
      <c r="D5" s="2"/>
      <c r="E5" s="2" t="s">
        <v>28</v>
      </c>
      <c r="F5" s="2" t="s">
        <v>29</v>
      </c>
      <c r="G5" s="6" t="s">
        <v>30</v>
      </c>
      <c r="H5" s="2" t="s">
        <v>31</v>
      </c>
      <c r="I5" s="2" t="s">
        <v>32</v>
      </c>
      <c r="J5" s="2">
        <v>15.48</v>
      </c>
      <c r="K5" s="2">
        <v>14.6</v>
      </c>
      <c r="L5" s="2">
        <v>4.6</v>
      </c>
      <c r="M5" s="2">
        <v>20</v>
      </c>
      <c r="N5" s="4" t="s">
        <v>33</v>
      </c>
      <c r="O5" s="9" t="s">
        <v>34</v>
      </c>
      <c r="P5" s="2">
        <v>92</v>
      </c>
      <c r="Q5" s="2">
        <v>0</v>
      </c>
      <c r="R5" s="6" t="s">
        <v>34</v>
      </c>
      <c r="S5" s="2"/>
      <c r="T5" s="2">
        <v>4793.21</v>
      </c>
      <c r="U5" s="2">
        <v>479.32</v>
      </c>
      <c r="V5" s="2"/>
      <c r="W5" s="2"/>
      <c r="X5" s="2"/>
      <c r="Y5" s="2">
        <v>1054.51</v>
      </c>
      <c r="Z5" s="2"/>
      <c r="AA5" s="10">
        <v>6327.04</v>
      </c>
    </row>
    <row r="6" ht="15">
      <c r="A6">
        <v>2</v>
      </c>
      <c r="B6" s="6"/>
      <c r="C6" s="2">
        <v>1</v>
      </c>
      <c r="D6" s="2"/>
      <c r="E6" s="2" t="s">
        <v>35</v>
      </c>
      <c r="F6" s="2" t="s">
        <v>36</v>
      </c>
      <c r="G6" s="6" t="s">
        <v>30</v>
      </c>
      <c r="H6" s="2" t="s">
        <v>31</v>
      </c>
      <c r="I6" s="2" t="s">
        <v>32</v>
      </c>
      <c r="J6" s="2">
        <v>12.177</v>
      </c>
      <c r="K6" s="2">
        <v>11.475</v>
      </c>
      <c r="L6" s="2">
        <v>4.3</v>
      </c>
      <c r="M6" s="2">
        <v>27</v>
      </c>
      <c r="N6" s="4" t="s">
        <v>33</v>
      </c>
      <c r="O6" s="9" t="s">
        <v>34</v>
      </c>
      <c r="P6" s="2">
        <v>116.1</v>
      </c>
      <c r="Q6" s="2">
        <v>0</v>
      </c>
      <c r="R6" s="6" t="s">
        <v>34</v>
      </c>
      <c r="S6" s="2"/>
      <c r="T6" s="2">
        <v>6003.32</v>
      </c>
      <c r="U6" s="2">
        <v>600.33</v>
      </c>
      <c r="V6" s="2"/>
      <c r="W6" s="2"/>
      <c r="X6" s="2"/>
      <c r="Y6" s="2">
        <v>1320.73</v>
      </c>
      <c r="Z6" s="2"/>
      <c r="AA6" s="10">
        <v>7924.38</v>
      </c>
    </row>
    <row r="7" ht="15">
      <c r="A7">
        <v>3</v>
      </c>
      <c r="B7" s="6"/>
      <c r="C7" s="2">
        <v>1</v>
      </c>
      <c r="D7" s="2"/>
      <c r="E7" s="2" t="s">
        <v>37</v>
      </c>
      <c r="F7" s="2" t="s">
        <v>38</v>
      </c>
      <c r="G7" s="6" t="s">
        <v>30</v>
      </c>
      <c r="H7" s="2" t="s">
        <v>31</v>
      </c>
      <c r="I7" s="2" t="s">
        <v>32</v>
      </c>
      <c r="J7" s="2">
        <v>41.68</v>
      </c>
      <c r="K7" s="2">
        <v>39.3</v>
      </c>
      <c r="L7" s="2">
        <v>11.6</v>
      </c>
      <c r="M7" s="2">
        <v>20</v>
      </c>
      <c r="N7" s="4" t="s">
        <v>33</v>
      </c>
      <c r="O7" s="9" t="s">
        <v>34</v>
      </c>
      <c r="P7" s="2">
        <v>232</v>
      </c>
      <c r="Q7" s="2">
        <v>0</v>
      </c>
      <c r="R7" s="6" t="s">
        <v>34</v>
      </c>
      <c r="S7" s="2"/>
      <c r="T7" s="2">
        <v>12103.57</v>
      </c>
      <c r="U7" s="2">
        <v>1210.36</v>
      </c>
      <c r="V7" s="2"/>
      <c r="W7" s="2"/>
      <c r="X7" s="2"/>
      <c r="Y7" s="2">
        <v>2662.79</v>
      </c>
      <c r="Z7" s="2"/>
      <c r="AA7" s="10">
        <v>15976.72</v>
      </c>
    </row>
    <row r="8" ht="15">
      <c r="A8">
        <v>4</v>
      </c>
      <c r="B8" s="6"/>
      <c r="C8" s="2">
        <v>1</v>
      </c>
      <c r="D8" s="2"/>
      <c r="E8" s="2" t="s">
        <v>39</v>
      </c>
      <c r="F8" s="2" t="s">
        <v>40</v>
      </c>
      <c r="G8" s="6" t="s">
        <v>30</v>
      </c>
      <c r="H8" s="2" t="s">
        <v>31</v>
      </c>
      <c r="I8" s="2" t="s">
        <v>32</v>
      </c>
      <c r="J8" s="2">
        <v>16.39</v>
      </c>
      <c r="K8" s="2">
        <v>15.45</v>
      </c>
      <c r="L8" s="2">
        <v>11.6</v>
      </c>
      <c r="M8" s="2">
        <v>10</v>
      </c>
      <c r="N8" s="4" t="s">
        <v>33</v>
      </c>
      <c r="O8" s="9" t="s">
        <v>34</v>
      </c>
      <c r="P8" s="2">
        <v>116</v>
      </c>
      <c r="Q8" s="2">
        <v>0</v>
      </c>
      <c r="R8" s="6" t="s">
        <v>34</v>
      </c>
      <c r="S8" s="2"/>
      <c r="T8" s="2">
        <v>6024.26</v>
      </c>
      <c r="U8" s="2">
        <v>602.43</v>
      </c>
      <c r="V8" s="2"/>
      <c r="W8" s="2"/>
      <c r="X8" s="2"/>
      <c r="Y8" s="2">
        <v>1325.34</v>
      </c>
      <c r="Z8" s="2"/>
      <c r="AA8" s="10">
        <v>7952.03</v>
      </c>
    </row>
    <row r="9" ht="15">
      <c r="A9">
        <v>5</v>
      </c>
      <c r="B9" s="6"/>
      <c r="C9" s="2">
        <v>1</v>
      </c>
      <c r="D9" s="2"/>
      <c r="E9" s="2" t="s">
        <v>41</v>
      </c>
      <c r="F9" s="2" t="s">
        <v>38</v>
      </c>
      <c r="G9" s="6" t="s">
        <v>30</v>
      </c>
      <c r="H9" s="2" t="s">
        <v>31</v>
      </c>
      <c r="I9" s="2" t="s">
        <v>32</v>
      </c>
      <c r="J9" s="2">
        <v>13.04</v>
      </c>
      <c r="K9" s="2">
        <v>12.3</v>
      </c>
      <c r="L9" s="2">
        <v>3.4</v>
      </c>
      <c r="M9" s="2">
        <v>20</v>
      </c>
      <c r="N9" s="4" t="s">
        <v>33</v>
      </c>
      <c r="O9" s="9" t="s">
        <v>34</v>
      </c>
      <c r="P9" s="2">
        <v>68</v>
      </c>
      <c r="Q9" s="2">
        <v>0</v>
      </c>
      <c r="R9" s="6" t="s">
        <v>34</v>
      </c>
      <c r="S9" s="2"/>
      <c r="T9" s="2">
        <v>3552.69</v>
      </c>
      <c r="U9" s="2">
        <v>355.27</v>
      </c>
      <c r="V9" s="2"/>
      <c r="W9" s="2"/>
      <c r="X9" s="2"/>
      <c r="Y9" s="2">
        <v>781.59</v>
      </c>
      <c r="Z9" s="2"/>
      <c r="AA9" s="10">
        <v>4689.55</v>
      </c>
    </row>
    <row r="10" ht="15">
      <c r="A10">
        <v>6</v>
      </c>
      <c r="B10" s="6"/>
      <c r="C10" s="2">
        <v>1</v>
      </c>
      <c r="D10" s="2"/>
      <c r="E10" s="2" t="s">
        <v>42</v>
      </c>
      <c r="F10" s="2" t="s">
        <v>43</v>
      </c>
      <c r="G10" s="6" t="s">
        <v>30</v>
      </c>
      <c r="H10" s="2" t="s">
        <v>31</v>
      </c>
      <c r="I10" s="2" t="s">
        <v>32</v>
      </c>
      <c r="J10" s="2">
        <v>36.24</v>
      </c>
      <c r="K10" s="2">
        <v>34.16</v>
      </c>
      <c r="L10" s="2">
        <v>3.7</v>
      </c>
      <c r="M10" s="2">
        <v>80</v>
      </c>
      <c r="N10" s="4" t="s">
        <v>33</v>
      </c>
      <c r="O10" s="9" t="s">
        <v>34</v>
      </c>
      <c r="P10" s="2">
        <v>296</v>
      </c>
      <c r="Q10" s="2">
        <v>0</v>
      </c>
      <c r="R10" s="6" t="s">
        <v>34</v>
      </c>
      <c r="S10" s="2"/>
      <c r="T10" s="2">
        <v>15337.73</v>
      </c>
      <c r="U10" s="2">
        <v>1533.77</v>
      </c>
      <c r="V10" s="2"/>
      <c r="W10" s="2"/>
      <c r="X10" s="2"/>
      <c r="Y10" s="2">
        <v>3374.3</v>
      </c>
      <c r="Z10" s="2"/>
      <c r="AA10" s="10">
        <v>20245.8</v>
      </c>
    </row>
    <row r="11" ht="15">
      <c r="A11">
        <v>7</v>
      </c>
      <c r="B11" s="6"/>
      <c r="C11" s="2">
        <v>1</v>
      </c>
      <c r="D11" s="2"/>
      <c r="E11" s="2" t="s">
        <v>44</v>
      </c>
      <c r="F11" s="2" t="s">
        <v>45</v>
      </c>
      <c r="G11" s="6" t="s">
        <v>30</v>
      </c>
      <c r="H11" s="2" t="s">
        <v>31</v>
      </c>
      <c r="I11" s="2" t="s">
        <v>32</v>
      </c>
      <c r="J11" s="2">
        <v>13.35</v>
      </c>
      <c r="K11" s="2">
        <v>12.6</v>
      </c>
      <c r="L11" s="2">
        <v>3.7</v>
      </c>
      <c r="M11" s="2">
        <v>30</v>
      </c>
      <c r="N11" s="4" t="s">
        <v>33</v>
      </c>
      <c r="O11" s="9" t="s">
        <v>34</v>
      </c>
      <c r="P11" s="2">
        <v>111</v>
      </c>
      <c r="Q11" s="2">
        <v>0</v>
      </c>
      <c r="R11" s="6" t="s">
        <v>34</v>
      </c>
      <c r="S11" s="2"/>
      <c r="T11" s="2">
        <v>5750.17</v>
      </c>
      <c r="U11" s="2">
        <v>575.02</v>
      </c>
      <c r="V11" s="2"/>
      <c r="W11" s="2"/>
      <c r="X11" s="2"/>
      <c r="Y11" s="2">
        <v>1265.04</v>
      </c>
      <c r="Z11" s="2"/>
      <c r="AA11" s="10">
        <v>7590.23</v>
      </c>
    </row>
    <row r="12" ht="15">
      <c r="A12">
        <v>8</v>
      </c>
      <c r="B12" s="6"/>
      <c r="C12" s="2">
        <v>1</v>
      </c>
      <c r="D12" s="2"/>
      <c r="E12" s="2" t="s">
        <v>46</v>
      </c>
      <c r="F12" s="2" t="s">
        <v>47</v>
      </c>
      <c r="G12" s="6" t="s">
        <v>30</v>
      </c>
      <c r="H12" s="2" t="s">
        <v>31</v>
      </c>
      <c r="I12" s="2" t="s">
        <v>32</v>
      </c>
      <c r="J12" s="2">
        <v>67.65</v>
      </c>
      <c r="K12" s="2">
        <v>63.75</v>
      </c>
      <c r="L12" s="2">
        <v>3.1</v>
      </c>
      <c r="M12" s="2">
        <v>150</v>
      </c>
      <c r="N12" s="4" t="s">
        <v>33</v>
      </c>
      <c r="O12" s="9" t="s">
        <v>34</v>
      </c>
      <c r="P12" s="2">
        <v>465</v>
      </c>
      <c r="Q12" s="2">
        <v>0</v>
      </c>
      <c r="R12" s="6" t="s">
        <v>34</v>
      </c>
      <c r="S12" s="2"/>
      <c r="T12" s="2">
        <v>24161.04</v>
      </c>
      <c r="U12" s="2">
        <v>2416.1</v>
      </c>
      <c r="V12" s="2"/>
      <c r="W12" s="2"/>
      <c r="X12" s="2"/>
      <c r="Y12" s="2">
        <v>5315.43</v>
      </c>
      <c r="Z12" s="2"/>
      <c r="AA12" s="10">
        <v>31892.57</v>
      </c>
    </row>
    <row r="13" ht="15">
      <c r="A13">
        <v>9</v>
      </c>
      <c r="B13" s="6"/>
      <c r="C13" s="2">
        <v>1</v>
      </c>
      <c r="D13" s="2"/>
      <c r="E13" s="2" t="s">
        <v>48</v>
      </c>
      <c r="F13" s="2" t="s">
        <v>49</v>
      </c>
      <c r="G13" s="6" t="s">
        <v>30</v>
      </c>
      <c r="H13" s="2" t="s">
        <v>31</v>
      </c>
      <c r="I13" s="2" t="s">
        <v>32</v>
      </c>
      <c r="J13" s="2">
        <v>32.2</v>
      </c>
      <c r="K13" s="2">
        <v>30.4</v>
      </c>
      <c r="L13" s="2">
        <v>0.9</v>
      </c>
      <c r="M13" s="2">
        <v>200</v>
      </c>
      <c r="N13" s="4" t="s">
        <v>33</v>
      </c>
      <c r="O13" s="9" t="s">
        <v>34</v>
      </c>
      <c r="P13" s="2">
        <v>180</v>
      </c>
      <c r="Q13" s="2">
        <v>0</v>
      </c>
      <c r="R13" s="6" t="s">
        <v>34</v>
      </c>
      <c r="S13" s="2"/>
      <c r="T13" s="2">
        <v>9389.85</v>
      </c>
      <c r="U13" s="2">
        <v>938.99</v>
      </c>
      <c r="V13" s="2"/>
      <c r="W13" s="2"/>
      <c r="X13" s="2"/>
      <c r="Y13" s="2">
        <v>2065.77</v>
      </c>
      <c r="Z13" s="2"/>
      <c r="AA13" s="10">
        <v>12394.61</v>
      </c>
    </row>
    <row r="14" ht="15">
      <c r="A14">
        <v>10</v>
      </c>
      <c r="B14" s="6"/>
      <c r="C14" s="2">
        <v>1</v>
      </c>
      <c r="D14" s="2"/>
      <c r="E14" s="2" t="s">
        <v>50</v>
      </c>
      <c r="F14" s="2" t="s">
        <v>51</v>
      </c>
      <c r="G14" s="6" t="s">
        <v>30</v>
      </c>
      <c r="H14" s="2" t="s">
        <v>31</v>
      </c>
      <c r="I14" s="2" t="s">
        <v>32</v>
      </c>
      <c r="J14" s="2">
        <v>16.822</v>
      </c>
      <c r="K14" s="2">
        <v>15.86</v>
      </c>
      <c r="L14" s="2">
        <v>6.15</v>
      </c>
      <c r="M14" s="2">
        <v>26</v>
      </c>
      <c r="N14" s="4" t="s">
        <v>33</v>
      </c>
      <c r="O14" s="9" t="s">
        <v>34</v>
      </c>
      <c r="P14" s="2">
        <v>159.9</v>
      </c>
      <c r="Q14" s="2">
        <v>0</v>
      </c>
      <c r="R14" s="6" t="s">
        <v>34</v>
      </c>
      <c r="S14" s="2"/>
      <c r="T14" s="2">
        <v>8268.45</v>
      </c>
      <c r="U14" s="2">
        <v>826.85</v>
      </c>
      <c r="V14" s="2"/>
      <c r="W14" s="2"/>
      <c r="X14" s="2"/>
      <c r="Y14" s="2">
        <v>1819.06</v>
      </c>
      <c r="Z14" s="2"/>
      <c r="AA14" s="10">
        <v>10914.36</v>
      </c>
    </row>
    <row r="15" ht="15">
      <c r="A15">
        <v>11</v>
      </c>
      <c r="B15" s="6"/>
      <c r="C15" s="2">
        <v>1</v>
      </c>
      <c r="D15" s="2"/>
      <c r="E15" s="2" t="s">
        <v>52</v>
      </c>
      <c r="F15" s="2" t="s">
        <v>53</v>
      </c>
      <c r="G15" s="6" t="s">
        <v>30</v>
      </c>
      <c r="H15" s="2" t="s">
        <v>31</v>
      </c>
      <c r="I15" s="2" t="s">
        <v>32</v>
      </c>
      <c r="J15" s="2">
        <v>8.86</v>
      </c>
      <c r="K15" s="2">
        <v>8.35</v>
      </c>
      <c r="L15" s="2">
        <v>14.6</v>
      </c>
      <c r="M15" s="2">
        <v>5</v>
      </c>
      <c r="N15" s="4" t="s">
        <v>33</v>
      </c>
      <c r="O15" s="9" t="s">
        <v>34</v>
      </c>
      <c r="P15" s="2">
        <v>73</v>
      </c>
      <c r="Q15" s="2">
        <v>0</v>
      </c>
      <c r="R15" s="6" t="s">
        <v>34</v>
      </c>
      <c r="S15" s="2"/>
      <c r="T15" s="2">
        <v>3782.14</v>
      </c>
      <c r="U15" s="2">
        <v>378.21</v>
      </c>
      <c r="V15" s="2"/>
      <c r="W15" s="2"/>
      <c r="X15" s="2"/>
      <c r="Y15" s="2">
        <v>832.07</v>
      </c>
      <c r="Z15" s="2"/>
      <c r="AA15" s="10">
        <v>4992.42</v>
      </c>
    </row>
    <row r="16" ht="15">
      <c r="A16">
        <v>12</v>
      </c>
      <c r="B16" s="6"/>
      <c r="C16" s="2">
        <v>1</v>
      </c>
      <c r="D16" s="2"/>
      <c r="E16" s="2" t="s">
        <v>54</v>
      </c>
      <c r="F16" s="2" t="s">
        <v>55</v>
      </c>
      <c r="G16" s="6" t="s">
        <v>30</v>
      </c>
      <c r="H16" s="2" t="s">
        <v>31</v>
      </c>
      <c r="I16" s="2" t="s">
        <v>32</v>
      </c>
      <c r="J16" s="2">
        <v>41.925</v>
      </c>
      <c r="K16" s="2">
        <v>39.525</v>
      </c>
      <c r="L16" s="2">
        <v>12.4</v>
      </c>
      <c r="M16" s="2">
        <v>25</v>
      </c>
      <c r="N16" s="4" t="s">
        <v>33</v>
      </c>
      <c r="O16" s="9" t="s">
        <v>34</v>
      </c>
      <c r="P16" s="2">
        <v>310</v>
      </c>
      <c r="Q16" s="2">
        <v>0</v>
      </c>
      <c r="R16" s="6" t="s">
        <v>34</v>
      </c>
      <c r="S16" s="2"/>
      <c r="T16" s="2">
        <v>16087.72</v>
      </c>
      <c r="U16" s="2">
        <v>1608.77</v>
      </c>
      <c r="V16" s="2"/>
      <c r="W16" s="2"/>
      <c r="X16" s="2"/>
      <c r="Y16" s="2">
        <v>3539.3</v>
      </c>
      <c r="Z16" s="2"/>
      <c r="AA16" s="10">
        <v>21235.79</v>
      </c>
    </row>
    <row r="17" ht="15">
      <c r="A17">
        <v>13</v>
      </c>
      <c r="B17" s="6"/>
      <c r="C17" s="2">
        <v>1</v>
      </c>
      <c r="D17" s="2"/>
      <c r="E17" s="2" t="s">
        <v>56</v>
      </c>
      <c r="F17" s="2" t="s">
        <v>57</v>
      </c>
      <c r="G17" s="6" t="s">
        <v>30</v>
      </c>
      <c r="H17" s="2" t="s">
        <v>31</v>
      </c>
      <c r="I17" s="2" t="s">
        <v>32</v>
      </c>
      <c r="J17" s="2">
        <v>9.834</v>
      </c>
      <c r="K17" s="2">
        <v>9.27</v>
      </c>
      <c r="L17" s="2">
        <v>11.8</v>
      </c>
      <c r="M17" s="2">
        <v>6</v>
      </c>
      <c r="N17" s="4" t="s">
        <v>33</v>
      </c>
      <c r="O17" s="9" t="s">
        <v>34</v>
      </c>
      <c r="P17" s="2">
        <v>70.8</v>
      </c>
      <c r="Q17" s="2">
        <v>0</v>
      </c>
      <c r="R17" s="6" t="s">
        <v>34</v>
      </c>
      <c r="S17" s="2"/>
      <c r="T17" s="2">
        <v>3675.83</v>
      </c>
      <c r="U17" s="2">
        <v>367.58</v>
      </c>
      <c r="V17" s="2"/>
      <c r="W17" s="2"/>
      <c r="X17" s="2"/>
      <c r="Y17" s="2">
        <v>808.68</v>
      </c>
      <c r="Z17" s="2"/>
      <c r="AA17" s="10">
        <v>4852.09</v>
      </c>
    </row>
    <row r="18" ht="15">
      <c r="A18">
        <v>14</v>
      </c>
      <c r="B18" s="6"/>
      <c r="C18" s="2">
        <v>1</v>
      </c>
      <c r="D18" s="2"/>
      <c r="E18" s="2" t="s">
        <v>58</v>
      </c>
      <c r="F18" s="2" t="s">
        <v>59</v>
      </c>
      <c r="G18" s="6" t="s">
        <v>30</v>
      </c>
      <c r="H18" s="2" t="s">
        <v>31</v>
      </c>
      <c r="I18" s="2" t="s">
        <v>32</v>
      </c>
      <c r="J18" s="2">
        <v>7.74</v>
      </c>
      <c r="K18" s="2">
        <v>7.3</v>
      </c>
      <c r="L18" s="2">
        <v>15.3</v>
      </c>
      <c r="M18" s="2">
        <v>20</v>
      </c>
      <c r="N18" s="4" t="s">
        <v>33</v>
      </c>
      <c r="O18" s="9" t="s">
        <v>34</v>
      </c>
      <c r="P18" s="2">
        <v>306</v>
      </c>
      <c r="Q18" s="2">
        <v>0</v>
      </c>
      <c r="R18" s="6" t="s">
        <v>34</v>
      </c>
      <c r="S18" s="2"/>
      <c r="T18" s="2">
        <v>15672.07</v>
      </c>
      <c r="U18" s="2">
        <v>1567.21</v>
      </c>
      <c r="V18" s="2"/>
      <c r="W18" s="2"/>
      <c r="X18" s="2"/>
      <c r="Y18" s="2">
        <v>3447.86</v>
      </c>
      <c r="Z18" s="2"/>
      <c r="AA18" s="10">
        <v>20687.14</v>
      </c>
    </row>
    <row r="19" ht="15">
      <c r="A19">
        <v>15</v>
      </c>
      <c r="B19" s="6"/>
      <c r="C19" s="2">
        <v>1</v>
      </c>
      <c r="D19" s="2"/>
      <c r="E19" s="2" t="s">
        <v>60</v>
      </c>
      <c r="F19" s="2" t="s">
        <v>61</v>
      </c>
      <c r="G19" s="6" t="s">
        <v>30</v>
      </c>
      <c r="H19" s="2" t="s">
        <v>31</v>
      </c>
      <c r="I19" s="2" t="s">
        <v>32</v>
      </c>
      <c r="J19" s="2">
        <v>50.48</v>
      </c>
      <c r="K19" s="2">
        <v>47.6</v>
      </c>
      <c r="L19" s="2">
        <v>11.5</v>
      </c>
      <c r="M19" s="2">
        <v>80</v>
      </c>
      <c r="N19" s="4" t="s">
        <v>33</v>
      </c>
      <c r="O19" s="9" t="s">
        <v>34</v>
      </c>
      <c r="P19" s="2">
        <v>920</v>
      </c>
      <c r="Q19" s="2">
        <v>0</v>
      </c>
      <c r="R19" s="6" t="s">
        <v>34</v>
      </c>
      <c r="S19" s="2"/>
      <c r="T19" s="2">
        <v>47286.93</v>
      </c>
      <c r="U19" s="13">
        <f>SUM(4728.69,-0.01)</f>
        <v>0</v>
      </c>
      <c r="V19" s="2"/>
      <c r="W19" s="2"/>
      <c r="X19" s="2"/>
      <c r="Y19" s="13">
        <f>SUM(10403.12,-0.03)</f>
        <v>0</v>
      </c>
      <c r="Z19" s="2"/>
      <c r="AA19" s="10">
        <v>62418.74</v>
      </c>
    </row>
    <row r="20" ht="15">
      <c r="A20">
        <v>16</v>
      </c>
      <c r="B20" s="6"/>
      <c r="C20" s="2">
        <v>1</v>
      </c>
      <c r="D20" s="2"/>
      <c r="E20" s="2" t="s">
        <v>62</v>
      </c>
      <c r="F20" s="2" t="s">
        <v>63</v>
      </c>
      <c r="G20" s="6" t="s">
        <v>30</v>
      </c>
      <c r="H20" s="2" t="s">
        <v>31</v>
      </c>
      <c r="I20" s="2" t="s">
        <v>32</v>
      </c>
      <c r="J20" s="2">
        <v>9.92</v>
      </c>
      <c r="K20" s="2">
        <v>9.35</v>
      </c>
      <c r="L20" s="2">
        <v>8.1</v>
      </c>
      <c r="M20" s="2">
        <v>5</v>
      </c>
      <c r="N20" s="4" t="s">
        <v>33</v>
      </c>
      <c r="O20" s="9" t="s">
        <v>34</v>
      </c>
      <c r="P20" s="2">
        <v>40.5</v>
      </c>
      <c r="Q20" s="2">
        <v>0</v>
      </c>
      <c r="R20" s="6" t="s">
        <v>34</v>
      </c>
      <c r="S20" s="2"/>
      <c r="T20" s="2">
        <v>2129.26</v>
      </c>
      <c r="U20" s="2">
        <v>212.93</v>
      </c>
      <c r="V20" s="2"/>
      <c r="W20" s="2"/>
      <c r="X20" s="2"/>
      <c r="Y20" s="2">
        <v>468.44</v>
      </c>
      <c r="Z20" s="2"/>
      <c r="AA20" s="10">
        <v>2810.63</v>
      </c>
    </row>
    <row r="21" ht="15">
      <c r="A21">
        <v>17</v>
      </c>
      <c r="B21" s="6"/>
      <c r="C21" s="2">
        <v>1</v>
      </c>
      <c r="D21" s="2"/>
      <c r="E21" s="2" t="s">
        <v>64</v>
      </c>
      <c r="F21" s="2" t="s">
        <v>65</v>
      </c>
      <c r="G21" s="6" t="s">
        <v>30</v>
      </c>
      <c r="H21" s="2" t="s">
        <v>31</v>
      </c>
      <c r="I21" s="2" t="s">
        <v>32</v>
      </c>
      <c r="J21" s="2">
        <v>25.67</v>
      </c>
      <c r="K21" s="2">
        <v>24.2</v>
      </c>
      <c r="L21" s="2">
        <v>11.7</v>
      </c>
      <c r="M21" s="2">
        <v>10</v>
      </c>
      <c r="N21" s="4" t="s">
        <v>33</v>
      </c>
      <c r="O21" s="9" t="s">
        <v>34</v>
      </c>
      <c r="P21" s="2">
        <v>117</v>
      </c>
      <c r="Q21" s="2">
        <v>0</v>
      </c>
      <c r="R21" s="6" t="s">
        <v>34</v>
      </c>
      <c r="S21" s="2"/>
      <c r="T21" s="2">
        <v>6132.71</v>
      </c>
      <c r="U21" s="2">
        <v>613.27</v>
      </c>
      <c r="V21" s="2"/>
      <c r="W21" s="2"/>
      <c r="X21" s="2"/>
      <c r="Y21" s="2">
        <v>1349.2</v>
      </c>
      <c r="Z21" s="2"/>
      <c r="AA21" s="10">
        <v>8095.18</v>
      </c>
    </row>
    <row r="22" ht="15">
      <c r="A22">
        <v>18</v>
      </c>
      <c r="B22" s="6"/>
      <c r="C22" s="2">
        <v>1</v>
      </c>
      <c r="D22" s="2"/>
      <c r="E22" s="2" t="s">
        <v>66</v>
      </c>
      <c r="F22" s="2" t="s">
        <v>67</v>
      </c>
      <c r="G22" s="6" t="s">
        <v>30</v>
      </c>
      <c r="H22" s="2" t="s">
        <v>31</v>
      </c>
      <c r="I22" s="2" t="s">
        <v>32</v>
      </c>
      <c r="J22" s="2">
        <v>34</v>
      </c>
      <c r="K22" s="2">
        <v>32</v>
      </c>
      <c r="L22" s="2">
        <v>2.1</v>
      </c>
      <c r="M22" s="2">
        <v>200</v>
      </c>
      <c r="N22" s="4" t="s">
        <v>33</v>
      </c>
      <c r="O22" s="9" t="s">
        <v>34</v>
      </c>
      <c r="P22" s="2">
        <v>420</v>
      </c>
      <c r="Q22" s="2">
        <v>0</v>
      </c>
      <c r="R22" s="6" t="s">
        <v>34</v>
      </c>
      <c r="S22" s="2"/>
      <c r="T22" s="2">
        <v>21655.26</v>
      </c>
      <c r="U22" s="2">
        <v>2165.53</v>
      </c>
      <c r="V22" s="2"/>
      <c r="W22" s="2"/>
      <c r="X22" s="2"/>
      <c r="Y22" s="2">
        <v>4764.16</v>
      </c>
      <c r="Z22" s="2"/>
      <c r="AA22" s="10">
        <v>28584.95</v>
      </c>
    </row>
    <row r="23" ht="15">
      <c r="A23">
        <v>19</v>
      </c>
      <c r="B23" s="6"/>
      <c r="C23" s="2">
        <v>1</v>
      </c>
      <c r="D23" s="2"/>
      <c r="E23" s="2" t="s">
        <v>68</v>
      </c>
      <c r="F23" s="2" t="s">
        <v>69</v>
      </c>
      <c r="G23" s="6" t="s">
        <v>30</v>
      </c>
      <c r="H23" s="2" t="s">
        <v>31</v>
      </c>
      <c r="I23" s="2" t="s">
        <v>32</v>
      </c>
      <c r="J23" s="2">
        <v>3.66</v>
      </c>
      <c r="K23" s="2">
        <v>3.45</v>
      </c>
      <c r="L23" s="2">
        <v>1.9</v>
      </c>
      <c r="M23" s="2">
        <v>30</v>
      </c>
      <c r="N23" s="4" t="s">
        <v>33</v>
      </c>
      <c r="O23" s="9" t="s">
        <v>34</v>
      </c>
      <c r="P23" s="2">
        <v>57</v>
      </c>
      <c r="Q23" s="2">
        <v>0</v>
      </c>
      <c r="R23" s="6" t="s">
        <v>34</v>
      </c>
      <c r="S23" s="2"/>
      <c r="T23" s="2">
        <v>2933.03</v>
      </c>
      <c r="U23" s="2">
        <v>293.3</v>
      </c>
      <c r="V23" s="2"/>
      <c r="W23" s="2"/>
      <c r="X23" s="2"/>
      <c r="Y23" s="2">
        <v>645.27</v>
      </c>
      <c r="Z23" s="2"/>
      <c r="AA23" s="10">
        <v>3871.6</v>
      </c>
    </row>
    <row r="24" ht="15">
      <c r="A24">
        <v>20</v>
      </c>
      <c r="B24" s="6"/>
      <c r="C24" s="2">
        <v>1</v>
      </c>
      <c r="D24" s="2"/>
      <c r="E24" s="2" t="s">
        <v>70</v>
      </c>
      <c r="F24" s="2" t="s">
        <v>71</v>
      </c>
      <c r="G24" s="6" t="s">
        <v>30</v>
      </c>
      <c r="H24" s="2" t="s">
        <v>31</v>
      </c>
      <c r="I24" s="2" t="s">
        <v>32</v>
      </c>
      <c r="J24" s="2">
        <v>3.18</v>
      </c>
      <c r="K24" s="2">
        <v>3</v>
      </c>
      <c r="L24" s="2">
        <v>2.4</v>
      </c>
      <c r="M24" s="2">
        <v>20</v>
      </c>
      <c r="N24" s="4" t="s">
        <v>33</v>
      </c>
      <c r="O24" s="9" t="s">
        <v>34</v>
      </c>
      <c r="P24" s="2">
        <v>48</v>
      </c>
      <c r="Q24" s="2">
        <v>0</v>
      </c>
      <c r="R24" s="6" t="s">
        <v>34</v>
      </c>
      <c r="S24" s="2"/>
      <c r="T24" s="2">
        <v>2470.52</v>
      </c>
      <c r="U24" s="2">
        <v>247.05</v>
      </c>
      <c r="V24" s="2"/>
      <c r="W24" s="2"/>
      <c r="X24" s="2"/>
      <c r="Y24" s="2">
        <v>543.51</v>
      </c>
      <c r="Z24" s="2"/>
      <c r="AA24" s="10">
        <v>3261.08</v>
      </c>
    </row>
    <row r="25" ht="15">
      <c r="A25">
        <v>21</v>
      </c>
      <c r="B25" s="6"/>
      <c r="C25" s="2">
        <v>1</v>
      </c>
      <c r="D25" s="2"/>
      <c r="E25" s="2" t="s">
        <v>72</v>
      </c>
      <c r="F25" s="2" t="s">
        <v>73</v>
      </c>
      <c r="G25" s="6" t="s">
        <v>30</v>
      </c>
      <c r="H25" s="2" t="s">
        <v>31</v>
      </c>
      <c r="I25" s="2" t="s">
        <v>32</v>
      </c>
      <c r="J25" s="2">
        <v>6.8</v>
      </c>
      <c r="K25" s="2">
        <v>6.4</v>
      </c>
      <c r="L25" s="2">
        <v>3.1</v>
      </c>
      <c r="M25" s="2">
        <v>40</v>
      </c>
      <c r="N25" s="4" t="s">
        <v>33</v>
      </c>
      <c r="O25" s="9" t="s">
        <v>34</v>
      </c>
      <c r="P25" s="2">
        <v>124</v>
      </c>
      <c r="Q25" s="2">
        <v>0</v>
      </c>
      <c r="R25" s="6" t="s">
        <v>34</v>
      </c>
      <c r="S25" s="2"/>
      <c r="T25" s="2">
        <v>6373.43</v>
      </c>
      <c r="U25" s="2">
        <v>637.34</v>
      </c>
      <c r="V25" s="2"/>
      <c r="W25" s="2"/>
      <c r="X25" s="2"/>
      <c r="Y25" s="2">
        <v>1402.15</v>
      </c>
      <c r="Z25" s="2"/>
      <c r="AA25" s="10">
        <v>8412.92</v>
      </c>
    </row>
    <row r="26" ht="15">
      <c r="A26">
        <v>22</v>
      </c>
      <c r="B26" s="6"/>
      <c r="C26" s="2">
        <v>1</v>
      </c>
      <c r="D26" s="2"/>
      <c r="E26" s="2" t="s">
        <v>74</v>
      </c>
      <c r="F26" s="2" t="s">
        <v>75</v>
      </c>
      <c r="G26" s="6" t="s">
        <v>30</v>
      </c>
      <c r="H26" s="2" t="s">
        <v>31</v>
      </c>
      <c r="I26" s="2" t="s">
        <v>32</v>
      </c>
      <c r="J26" s="2">
        <v>1.86</v>
      </c>
      <c r="K26" s="2">
        <v>1.75</v>
      </c>
      <c r="L26" s="2">
        <v>8.9</v>
      </c>
      <c r="M26" s="2">
        <v>10</v>
      </c>
      <c r="N26" s="4" t="s">
        <v>33</v>
      </c>
      <c r="O26" s="9" t="s">
        <v>34</v>
      </c>
      <c r="P26" s="2">
        <v>89</v>
      </c>
      <c r="Q26" s="2">
        <v>0</v>
      </c>
      <c r="R26" s="6" t="s">
        <v>34</v>
      </c>
      <c r="S26" s="2"/>
      <c r="T26" s="2">
        <v>4555.8</v>
      </c>
      <c r="U26" s="2">
        <v>455.58</v>
      </c>
      <c r="V26" s="2"/>
      <c r="W26" s="2"/>
      <c r="X26" s="2"/>
      <c r="Y26" s="2">
        <v>1002.28</v>
      </c>
      <c r="Z26" s="2"/>
      <c r="AA26" s="10">
        <v>6013.66</v>
      </c>
    </row>
    <row r="27" ht="15">
      <c r="A27">
        <v>23</v>
      </c>
      <c r="B27" s="6"/>
      <c r="C27" s="2">
        <v>1</v>
      </c>
      <c r="D27" s="2"/>
      <c r="E27" s="2" t="s">
        <v>76</v>
      </c>
      <c r="F27" s="2" t="s">
        <v>77</v>
      </c>
      <c r="G27" s="6" t="s">
        <v>30</v>
      </c>
      <c r="H27" s="2" t="s">
        <v>31</v>
      </c>
      <c r="I27" s="2" t="s">
        <v>32</v>
      </c>
      <c r="J27" s="2">
        <v>8.8</v>
      </c>
      <c r="K27" s="2">
        <v>8.3</v>
      </c>
      <c r="L27" s="2">
        <v>8.3</v>
      </c>
      <c r="M27" s="2">
        <v>10</v>
      </c>
      <c r="N27" s="4" t="s">
        <v>33</v>
      </c>
      <c r="O27" s="9" t="s">
        <v>34</v>
      </c>
      <c r="P27" s="2">
        <v>83</v>
      </c>
      <c r="Q27" s="2">
        <v>0</v>
      </c>
      <c r="R27" s="6" t="s">
        <v>34</v>
      </c>
      <c r="S27" s="2"/>
      <c r="T27" s="2">
        <v>4292.36</v>
      </c>
      <c r="U27" s="2">
        <v>429.24</v>
      </c>
      <c r="V27" s="2"/>
      <c r="W27" s="2"/>
      <c r="X27" s="2"/>
      <c r="Y27" s="2">
        <v>944.32</v>
      </c>
      <c r="Z27" s="2"/>
      <c r="AA27" s="10">
        <v>5665.92</v>
      </c>
    </row>
    <row r="28" ht="15">
      <c r="A28">
        <v>24</v>
      </c>
      <c r="B28" s="6"/>
      <c r="C28" s="2">
        <v>1</v>
      </c>
      <c r="D28" s="2"/>
      <c r="E28" s="2" t="s">
        <v>78</v>
      </c>
      <c r="F28" s="2" t="s">
        <v>79</v>
      </c>
      <c r="G28" s="6" t="s">
        <v>30</v>
      </c>
      <c r="H28" s="2" t="s">
        <v>31</v>
      </c>
      <c r="I28" s="2" t="s">
        <v>32</v>
      </c>
      <c r="J28" s="2">
        <v>14.325</v>
      </c>
      <c r="K28" s="2">
        <v>13.5</v>
      </c>
      <c r="L28" s="2">
        <v>8.8</v>
      </c>
      <c r="M28" s="2">
        <v>15</v>
      </c>
      <c r="N28" s="4" t="s">
        <v>33</v>
      </c>
      <c r="O28" s="9" t="s">
        <v>34</v>
      </c>
      <c r="P28" s="2">
        <v>132</v>
      </c>
      <c r="Q28" s="2">
        <v>0</v>
      </c>
      <c r="R28" s="6" t="s">
        <v>34</v>
      </c>
      <c r="S28" s="2"/>
      <c r="T28" s="2">
        <v>6828.45</v>
      </c>
      <c r="U28" s="2">
        <v>682.85</v>
      </c>
      <c r="V28" s="2"/>
      <c r="W28" s="2"/>
      <c r="X28" s="2"/>
      <c r="Y28" s="2">
        <v>1502.26</v>
      </c>
      <c r="Z28" s="2"/>
      <c r="AA28" s="10">
        <v>9013.56</v>
      </c>
    </row>
    <row r="29" ht="15">
      <c r="A29">
        <v>25</v>
      </c>
      <c r="B29" s="6"/>
      <c r="C29" s="2">
        <v>1</v>
      </c>
      <c r="D29" s="2"/>
      <c r="E29" s="2" t="s">
        <v>80</v>
      </c>
      <c r="F29" s="2" t="s">
        <v>81</v>
      </c>
      <c r="G29" s="6" t="s">
        <v>30</v>
      </c>
      <c r="H29" s="2" t="s">
        <v>31</v>
      </c>
      <c r="I29" s="2" t="s">
        <v>32</v>
      </c>
      <c r="J29" s="2">
        <v>22.82</v>
      </c>
      <c r="K29" s="2">
        <v>21.52</v>
      </c>
      <c r="L29" s="2">
        <v>10.3</v>
      </c>
      <c r="M29" s="2">
        <v>20</v>
      </c>
      <c r="N29" s="4" t="s">
        <v>33</v>
      </c>
      <c r="O29" s="9" t="s">
        <v>34</v>
      </c>
      <c r="P29" s="2">
        <v>206</v>
      </c>
      <c r="Q29" s="2">
        <v>0</v>
      </c>
      <c r="R29" s="6" t="s">
        <v>34</v>
      </c>
      <c r="S29" s="2"/>
      <c r="T29" s="2">
        <v>10659.38</v>
      </c>
      <c r="U29" s="2">
        <v>1065.94</v>
      </c>
      <c r="V29" s="2"/>
      <c r="W29" s="2"/>
      <c r="X29" s="2"/>
      <c r="Y29" s="2">
        <v>2345.06</v>
      </c>
      <c r="Z29" s="2"/>
      <c r="AA29" s="10">
        <v>14070.38</v>
      </c>
    </row>
    <row r="30" ht="15">
      <c r="A30">
        <v>26</v>
      </c>
      <c r="B30" s="6"/>
      <c r="C30" s="2">
        <v>1</v>
      </c>
      <c r="D30" s="2"/>
      <c r="E30" s="2" t="s">
        <v>82</v>
      </c>
      <c r="F30" s="2" t="s">
        <v>81</v>
      </c>
      <c r="G30" s="6" t="s">
        <v>30</v>
      </c>
      <c r="H30" s="2" t="s">
        <v>31</v>
      </c>
      <c r="I30" s="2" t="s">
        <v>32</v>
      </c>
      <c r="J30" s="2">
        <v>22.7</v>
      </c>
      <c r="K30" s="2">
        <v>21.4</v>
      </c>
      <c r="L30" s="2">
        <v>10.2</v>
      </c>
      <c r="M30" s="2">
        <v>20</v>
      </c>
      <c r="N30" s="4" t="s">
        <v>33</v>
      </c>
      <c r="O30" s="9" t="s">
        <v>34</v>
      </c>
      <c r="P30" s="2">
        <v>204</v>
      </c>
      <c r="Q30" s="2">
        <v>0</v>
      </c>
      <c r="R30" s="6" t="s">
        <v>34</v>
      </c>
      <c r="S30" s="2"/>
      <c r="T30" s="2">
        <v>10556.52</v>
      </c>
      <c r="U30" s="2">
        <v>1055.65</v>
      </c>
      <c r="V30" s="2"/>
      <c r="W30" s="2"/>
      <c r="X30" s="2"/>
      <c r="Y30" s="2">
        <v>2322.43</v>
      </c>
      <c r="Z30" s="2"/>
      <c r="AA30" s="10">
        <v>13934.6</v>
      </c>
    </row>
    <row r="31" ht="15">
      <c r="A31">
        <v>27</v>
      </c>
      <c r="B31" s="6"/>
      <c r="C31" s="2">
        <v>1</v>
      </c>
      <c r="D31" s="2"/>
      <c r="E31" s="2" t="s">
        <v>83</v>
      </c>
      <c r="F31" s="2" t="s">
        <v>84</v>
      </c>
      <c r="G31" s="6" t="s">
        <v>30</v>
      </c>
      <c r="H31" s="2" t="s">
        <v>31</v>
      </c>
      <c r="I31" s="2" t="s">
        <v>32</v>
      </c>
      <c r="J31" s="2">
        <v>4.104</v>
      </c>
      <c r="K31" s="2">
        <v>3.87</v>
      </c>
      <c r="L31" s="2">
        <v>2.7</v>
      </c>
      <c r="M31" s="2">
        <v>9</v>
      </c>
      <c r="N31" s="4" t="s">
        <v>33</v>
      </c>
      <c r="O31" s="9" t="s">
        <v>34</v>
      </c>
      <c r="P31" s="2">
        <v>24.3</v>
      </c>
      <c r="Q31" s="2">
        <v>0</v>
      </c>
      <c r="R31" s="6" t="s">
        <v>34</v>
      </c>
      <c r="S31" s="2"/>
      <c r="T31" s="2">
        <v>1266.13</v>
      </c>
      <c r="U31" s="2">
        <v>126.61</v>
      </c>
      <c r="V31" s="2"/>
      <c r="W31" s="2"/>
      <c r="X31" s="2"/>
      <c r="Y31" s="2">
        <v>278.55</v>
      </c>
      <c r="Z31" s="2"/>
      <c r="AA31" s="10">
        <v>1671.29</v>
      </c>
    </row>
    <row r="32" ht="15">
      <c r="A32">
        <v>28</v>
      </c>
      <c r="B32" s="6"/>
      <c r="C32" s="2">
        <v>1</v>
      </c>
      <c r="D32" s="2"/>
      <c r="E32" s="2" t="s">
        <v>85</v>
      </c>
      <c r="F32" s="2" t="s">
        <v>86</v>
      </c>
      <c r="G32" s="6" t="s">
        <v>30</v>
      </c>
      <c r="H32" s="2" t="s">
        <v>31</v>
      </c>
      <c r="I32" s="2" t="s">
        <v>32</v>
      </c>
      <c r="J32" s="2">
        <v>4.99</v>
      </c>
      <c r="K32" s="2">
        <v>4.7</v>
      </c>
      <c r="L32" s="2">
        <v>3</v>
      </c>
      <c r="M32" s="2">
        <v>10</v>
      </c>
      <c r="N32" s="4" t="s">
        <v>33</v>
      </c>
      <c r="O32" s="9" t="s">
        <v>34</v>
      </c>
      <c r="P32" s="2">
        <v>30</v>
      </c>
      <c r="Q32" s="2">
        <v>0</v>
      </c>
      <c r="R32" s="6" t="s">
        <v>34</v>
      </c>
      <c r="S32" s="2"/>
      <c r="T32" s="2">
        <v>1562.65</v>
      </c>
      <c r="U32" s="2">
        <v>156.27</v>
      </c>
      <c r="V32" s="2"/>
      <c r="W32" s="2"/>
      <c r="X32" s="2"/>
      <c r="Y32" s="2">
        <v>343.78</v>
      </c>
      <c r="Z32" s="2"/>
      <c r="AA32" s="10">
        <v>2062.69</v>
      </c>
    </row>
    <row r="33" ht="15">
      <c r="A33">
        <v>29</v>
      </c>
      <c r="B33" s="6"/>
      <c r="C33" s="2">
        <v>1</v>
      </c>
      <c r="D33" s="2"/>
      <c r="E33" s="2" t="s">
        <v>87</v>
      </c>
      <c r="F33" s="2" t="s">
        <v>88</v>
      </c>
      <c r="G33" s="6" t="s">
        <v>30</v>
      </c>
      <c r="H33" s="2" t="s">
        <v>31</v>
      </c>
      <c r="I33" s="2" t="s">
        <v>32</v>
      </c>
      <c r="J33" s="2">
        <v>1.9</v>
      </c>
      <c r="K33" s="2">
        <v>1.8</v>
      </c>
      <c r="L33" s="2">
        <v>1.8</v>
      </c>
      <c r="M33" s="2">
        <v>20</v>
      </c>
      <c r="N33" s="4" t="s">
        <v>33</v>
      </c>
      <c r="O33" s="9" t="s">
        <v>34</v>
      </c>
      <c r="P33" s="2">
        <v>36</v>
      </c>
      <c r="Q33" s="2">
        <v>0</v>
      </c>
      <c r="R33" s="6" t="s">
        <v>34</v>
      </c>
      <c r="S33" s="2"/>
      <c r="T33" s="2">
        <v>1849.89</v>
      </c>
      <c r="U33" s="2">
        <v>184.99</v>
      </c>
      <c r="V33" s="2"/>
      <c r="W33" s="2"/>
      <c r="X33" s="2"/>
      <c r="Y33" s="2">
        <v>406.98</v>
      </c>
      <c r="Z33" s="2"/>
      <c r="AA33" s="10">
        <v>2441.86</v>
      </c>
    </row>
    <row r="34" ht="15">
      <c r="A34">
        <v>30</v>
      </c>
      <c r="B34" s="6"/>
      <c r="C34" s="2">
        <v>1</v>
      </c>
      <c r="D34" s="2"/>
      <c r="E34" s="2" t="s">
        <v>89</v>
      </c>
      <c r="F34" s="2" t="s">
        <v>90</v>
      </c>
      <c r="G34" s="6" t="s">
        <v>30</v>
      </c>
      <c r="H34" s="2" t="s">
        <v>31</v>
      </c>
      <c r="I34" s="2" t="s">
        <v>32</v>
      </c>
      <c r="J34" s="2">
        <v>0.456</v>
      </c>
      <c r="K34" s="2">
        <v>0.43</v>
      </c>
      <c r="L34" s="2">
        <v>9.1</v>
      </c>
      <c r="M34" s="2">
        <v>2</v>
      </c>
      <c r="N34" s="4" t="s">
        <v>33</v>
      </c>
      <c r="O34" s="9" t="s">
        <v>34</v>
      </c>
      <c r="P34" s="2">
        <v>18.2</v>
      </c>
      <c r="Q34" s="2">
        <v>0</v>
      </c>
      <c r="R34" s="6" t="s">
        <v>34</v>
      </c>
      <c r="S34" s="2"/>
      <c r="T34" s="2">
        <v>932.1</v>
      </c>
      <c r="U34" s="2">
        <v>93.21</v>
      </c>
      <c r="V34" s="2"/>
      <c r="W34" s="2"/>
      <c r="X34" s="2"/>
      <c r="Y34" s="2">
        <v>205.06</v>
      </c>
      <c r="Z34" s="2"/>
      <c r="AA34" s="10">
        <v>1230.37</v>
      </c>
    </row>
    <row r="35" ht="15">
      <c r="A35">
        <v>31</v>
      </c>
      <c r="B35" s="6"/>
      <c r="C35" s="2">
        <v>1</v>
      </c>
      <c r="D35" s="2"/>
      <c r="E35" s="2" t="s">
        <v>91</v>
      </c>
      <c r="F35" s="2" t="s">
        <v>92</v>
      </c>
      <c r="G35" s="6" t="s">
        <v>30</v>
      </c>
      <c r="H35" s="2" t="s">
        <v>31</v>
      </c>
      <c r="I35" s="2" t="s">
        <v>32</v>
      </c>
      <c r="J35" s="2">
        <v>1.14</v>
      </c>
      <c r="K35" s="2">
        <v>1.075</v>
      </c>
      <c r="L35" s="2">
        <v>5.6</v>
      </c>
      <c r="M35" s="2">
        <v>5</v>
      </c>
      <c r="N35" s="4" t="s">
        <v>33</v>
      </c>
      <c r="O35" s="9" t="s">
        <v>34</v>
      </c>
      <c r="P35" s="2">
        <v>28</v>
      </c>
      <c r="Q35" s="2">
        <v>0</v>
      </c>
      <c r="R35" s="6" t="s">
        <v>34</v>
      </c>
      <c r="S35" s="2"/>
      <c r="T35" s="2">
        <v>1436.72</v>
      </c>
      <c r="U35" s="2">
        <v>143.67</v>
      </c>
      <c r="V35" s="2"/>
      <c r="W35" s="2"/>
      <c r="X35" s="2"/>
      <c r="Y35" s="2">
        <v>316.08</v>
      </c>
      <c r="Z35" s="2"/>
      <c r="AA35" s="10">
        <v>1896.47</v>
      </c>
    </row>
    <row r="36" ht="15">
      <c r="A36">
        <v>32</v>
      </c>
      <c r="B36" s="6"/>
      <c r="C36" s="2">
        <v>1</v>
      </c>
      <c r="D36" s="2"/>
      <c r="E36" s="2" t="s">
        <v>93</v>
      </c>
      <c r="F36" s="2" t="s">
        <v>94</v>
      </c>
      <c r="G36" s="6" t="s">
        <v>30</v>
      </c>
      <c r="H36" s="2" t="s">
        <v>31</v>
      </c>
      <c r="I36" s="2" t="s">
        <v>32</v>
      </c>
      <c r="J36" s="2">
        <v>5.836</v>
      </c>
      <c r="K36" s="2">
        <v>5.5</v>
      </c>
      <c r="L36" s="2">
        <v>15.2</v>
      </c>
      <c r="M36" s="2">
        <v>4</v>
      </c>
      <c r="N36" s="4" t="s">
        <v>33</v>
      </c>
      <c r="O36" s="9" t="s">
        <v>34</v>
      </c>
      <c r="P36" s="2">
        <v>60.8</v>
      </c>
      <c r="Q36" s="2">
        <v>0</v>
      </c>
      <c r="R36" s="6" t="s">
        <v>34</v>
      </c>
      <c r="S36" s="2"/>
      <c r="T36" s="2">
        <v>3140.51</v>
      </c>
      <c r="U36" s="2">
        <v>314.05</v>
      </c>
      <c r="V36" s="2"/>
      <c r="W36" s="2"/>
      <c r="X36" s="2"/>
      <c r="Y36" s="2">
        <v>690.91</v>
      </c>
      <c r="Z36" s="2"/>
      <c r="AA36" s="10">
        <v>4145.47</v>
      </c>
    </row>
    <row r="37" ht="15">
      <c r="A37">
        <v>33</v>
      </c>
      <c r="B37" s="6"/>
      <c r="C37" s="2">
        <v>1</v>
      </c>
      <c r="D37" s="2"/>
      <c r="E37" s="2" t="s">
        <v>95</v>
      </c>
      <c r="F37" s="2" t="s">
        <v>96</v>
      </c>
      <c r="G37" s="6" t="s">
        <v>30</v>
      </c>
      <c r="H37" s="2" t="s">
        <v>31</v>
      </c>
      <c r="I37" s="2" t="s">
        <v>32</v>
      </c>
      <c r="J37" s="2">
        <v>5.73</v>
      </c>
      <c r="K37" s="2">
        <v>5.4</v>
      </c>
      <c r="L37" s="2">
        <v>10.1</v>
      </c>
      <c r="M37" s="2">
        <v>6</v>
      </c>
      <c r="N37" s="4" t="s">
        <v>33</v>
      </c>
      <c r="O37" s="9" t="s">
        <v>34</v>
      </c>
      <c r="P37" s="2">
        <v>60.6</v>
      </c>
      <c r="Q37" s="2">
        <v>0</v>
      </c>
      <c r="R37" s="6" t="s">
        <v>34</v>
      </c>
      <c r="S37" s="2"/>
      <c r="T37" s="2">
        <v>3129.64</v>
      </c>
      <c r="U37" s="2">
        <v>312.96</v>
      </c>
      <c r="V37" s="2"/>
      <c r="W37" s="2"/>
      <c r="X37" s="2"/>
      <c r="Y37" s="2">
        <v>688.52</v>
      </c>
      <c r="Z37" s="2"/>
      <c r="AA37" s="10">
        <v>4131.12</v>
      </c>
    </row>
    <row r="38" ht="15">
      <c r="A38">
        <v>34</v>
      </c>
      <c r="B38" s="6"/>
      <c r="C38" s="2">
        <v>1</v>
      </c>
      <c r="D38" s="2"/>
      <c r="E38" s="2" t="s">
        <v>97</v>
      </c>
      <c r="F38" s="2" t="s">
        <v>98</v>
      </c>
      <c r="G38" s="6" t="s">
        <v>30</v>
      </c>
      <c r="H38" s="2" t="s">
        <v>31</v>
      </c>
      <c r="I38" s="2" t="s">
        <v>32</v>
      </c>
      <c r="J38" s="2">
        <v>2.81</v>
      </c>
      <c r="K38" s="2">
        <v>2.65</v>
      </c>
      <c r="L38" s="2">
        <v>4.5</v>
      </c>
      <c r="M38" s="2">
        <v>10</v>
      </c>
      <c r="N38" s="4" t="s">
        <v>33</v>
      </c>
      <c r="O38" s="9" t="s">
        <v>34</v>
      </c>
      <c r="P38" s="2">
        <v>45</v>
      </c>
      <c r="Q38" s="2">
        <v>0</v>
      </c>
      <c r="R38" s="6" t="s">
        <v>34</v>
      </c>
      <c r="S38" s="2"/>
      <c r="T38" s="2">
        <v>2315.06</v>
      </c>
      <c r="U38" s="2">
        <v>231.51</v>
      </c>
      <c r="V38" s="2"/>
      <c r="W38" s="2"/>
      <c r="X38" s="2"/>
      <c r="Y38" s="2">
        <v>509.31</v>
      </c>
      <c r="Z38" s="2"/>
      <c r="AA38" s="10">
        <v>3055.88</v>
      </c>
    </row>
    <row r="39" ht="15">
      <c r="A39">
        <v>35</v>
      </c>
      <c r="B39" s="6"/>
      <c r="C39" s="2">
        <v>1</v>
      </c>
      <c r="D39" s="2"/>
      <c r="E39" s="2" t="s">
        <v>99</v>
      </c>
      <c r="F39" s="2" t="s">
        <v>69</v>
      </c>
      <c r="G39" s="6" t="s">
        <v>30</v>
      </c>
      <c r="H39" s="2" t="s">
        <v>31</v>
      </c>
      <c r="I39" s="2" t="s">
        <v>32</v>
      </c>
      <c r="J39" s="2">
        <v>3.51</v>
      </c>
      <c r="K39" s="2">
        <v>3.3</v>
      </c>
      <c r="L39" s="2">
        <v>2.8</v>
      </c>
      <c r="M39" s="2">
        <v>30</v>
      </c>
      <c r="N39" s="4" t="s">
        <v>33</v>
      </c>
      <c r="O39" s="9" t="s">
        <v>34</v>
      </c>
      <c r="P39" s="2">
        <v>84</v>
      </c>
      <c r="Q39" s="2">
        <v>0</v>
      </c>
      <c r="R39" s="6" t="s">
        <v>34</v>
      </c>
      <c r="S39" s="2"/>
      <c r="T39" s="2">
        <v>4310.71</v>
      </c>
      <c r="U39" s="2">
        <v>431.07</v>
      </c>
      <c r="V39" s="2"/>
      <c r="W39" s="2"/>
      <c r="X39" s="2"/>
      <c r="Y39" s="2">
        <v>948.36</v>
      </c>
      <c r="Z39" s="2"/>
      <c r="AA39" s="10">
        <v>5690.14</v>
      </c>
    </row>
    <row r="40" ht="15">
      <c r="A40">
        <v>36</v>
      </c>
      <c r="B40" s="6"/>
      <c r="C40" s="2">
        <v>1</v>
      </c>
      <c r="D40" s="2"/>
      <c r="E40" s="2" t="s">
        <v>100</v>
      </c>
      <c r="F40" s="2" t="s">
        <v>101</v>
      </c>
      <c r="G40" s="6" t="s">
        <v>30</v>
      </c>
      <c r="H40" s="2" t="s">
        <v>31</v>
      </c>
      <c r="I40" s="2" t="s">
        <v>32</v>
      </c>
      <c r="J40" s="2">
        <v>1.49</v>
      </c>
      <c r="K40" s="2">
        <v>1.4</v>
      </c>
      <c r="L40" s="2">
        <v>6</v>
      </c>
      <c r="M40" s="2">
        <v>10</v>
      </c>
      <c r="N40" s="4" t="s">
        <v>33</v>
      </c>
      <c r="O40" s="9" t="s">
        <v>34</v>
      </c>
      <c r="P40" s="2">
        <v>60</v>
      </c>
      <c r="Q40" s="2">
        <v>0</v>
      </c>
      <c r="R40" s="6" t="s">
        <v>34</v>
      </c>
      <c r="S40" s="2"/>
      <c r="T40" s="2">
        <v>3072.78</v>
      </c>
      <c r="U40" s="2">
        <v>307.28</v>
      </c>
      <c r="V40" s="2"/>
      <c r="W40" s="2"/>
      <c r="X40" s="2"/>
      <c r="Y40" s="2">
        <v>676.01</v>
      </c>
      <c r="Z40" s="2"/>
      <c r="AA40" s="10">
        <v>4056.07</v>
      </c>
    </row>
    <row r="41" ht="15">
      <c r="A41">
        <v>37</v>
      </c>
      <c r="B41" s="6"/>
      <c r="C41" s="2">
        <v>1</v>
      </c>
      <c r="D41" s="2"/>
      <c r="E41" s="2" t="s">
        <v>102</v>
      </c>
      <c r="F41" s="2" t="s">
        <v>103</v>
      </c>
      <c r="G41" s="6" t="s">
        <v>30</v>
      </c>
      <c r="H41" s="2" t="s">
        <v>31</v>
      </c>
      <c r="I41" s="2" t="s">
        <v>32</v>
      </c>
      <c r="J41" s="2">
        <v>19.36</v>
      </c>
      <c r="K41" s="2">
        <v>18.25</v>
      </c>
      <c r="L41" s="2">
        <v>16.2</v>
      </c>
      <c r="M41" s="2">
        <v>10</v>
      </c>
      <c r="N41" s="4" t="s">
        <v>33</v>
      </c>
      <c r="O41" s="9" t="s">
        <v>34</v>
      </c>
      <c r="P41" s="2">
        <v>162</v>
      </c>
      <c r="Q41" s="2">
        <v>0</v>
      </c>
      <c r="R41" s="6" t="s">
        <v>34</v>
      </c>
      <c r="S41" s="2"/>
      <c r="T41" s="2">
        <v>8391.37</v>
      </c>
      <c r="U41" s="2">
        <v>839.14</v>
      </c>
      <c r="V41" s="2"/>
      <c r="W41" s="2"/>
      <c r="X41" s="2"/>
      <c r="Y41" s="2">
        <v>1846.1</v>
      </c>
      <c r="Z41" s="2"/>
      <c r="AA41" s="10">
        <v>11076.61</v>
      </c>
    </row>
    <row r="42" ht="15">
      <c r="A42">
        <v>38</v>
      </c>
      <c r="B42" s="6"/>
      <c r="C42" s="2">
        <v>1</v>
      </c>
      <c r="D42" s="2"/>
      <c r="E42" s="2" t="s">
        <v>104</v>
      </c>
      <c r="F42" s="2" t="s">
        <v>105</v>
      </c>
      <c r="G42" s="6" t="s">
        <v>30</v>
      </c>
      <c r="H42" s="2" t="s">
        <v>31</v>
      </c>
      <c r="I42" s="2" t="s">
        <v>32</v>
      </c>
      <c r="J42" s="2">
        <v>1.59</v>
      </c>
      <c r="K42" s="2">
        <v>1.5</v>
      </c>
      <c r="L42" s="2">
        <v>3.7</v>
      </c>
      <c r="M42" s="2">
        <v>10</v>
      </c>
      <c r="N42" s="4" t="s">
        <v>33</v>
      </c>
      <c r="O42" s="9" t="s">
        <v>34</v>
      </c>
      <c r="P42" s="2">
        <v>37</v>
      </c>
      <c r="Q42" s="2">
        <v>0</v>
      </c>
      <c r="R42" s="6" t="s">
        <v>34</v>
      </c>
      <c r="S42" s="2"/>
      <c r="T42" s="2">
        <v>1899.03</v>
      </c>
      <c r="U42" s="2">
        <v>189.9</v>
      </c>
      <c r="V42" s="2"/>
      <c r="W42" s="2"/>
      <c r="X42" s="2"/>
      <c r="Y42" s="2">
        <v>417.79</v>
      </c>
      <c r="Z42" s="2"/>
      <c r="AA42" s="10">
        <v>2506.72</v>
      </c>
    </row>
    <row r="43" ht="15">
      <c r="A43">
        <v>39</v>
      </c>
      <c r="B43" s="6"/>
      <c r="C43" s="2">
        <v>1</v>
      </c>
      <c r="D43" s="2"/>
      <c r="E43" s="2" t="s">
        <v>106</v>
      </c>
      <c r="F43" s="2" t="s">
        <v>107</v>
      </c>
      <c r="G43" s="6" t="s">
        <v>30</v>
      </c>
      <c r="H43" s="2" t="s">
        <v>31</v>
      </c>
      <c r="I43" s="2" t="s">
        <v>32</v>
      </c>
      <c r="J43" s="2">
        <v>1.686</v>
      </c>
      <c r="K43" s="2">
        <v>1.59</v>
      </c>
      <c r="L43" s="2">
        <v>6.5</v>
      </c>
      <c r="M43" s="2">
        <v>6</v>
      </c>
      <c r="N43" s="4" t="s">
        <v>33</v>
      </c>
      <c r="O43" s="9" t="s">
        <v>34</v>
      </c>
      <c r="P43" s="2">
        <v>39</v>
      </c>
      <c r="Q43" s="2">
        <v>0</v>
      </c>
      <c r="R43" s="6" t="s">
        <v>34</v>
      </c>
      <c r="S43" s="2"/>
      <c r="T43" s="2">
        <v>2001.75</v>
      </c>
      <c r="U43" s="2">
        <v>200.18</v>
      </c>
      <c r="V43" s="2"/>
      <c r="W43" s="2"/>
      <c r="X43" s="2"/>
      <c r="Y43" s="2">
        <v>440.39</v>
      </c>
      <c r="Z43" s="2"/>
      <c r="AA43" s="10">
        <v>2642.32</v>
      </c>
    </row>
    <row r="44" ht="15">
      <c r="A44">
        <v>40</v>
      </c>
      <c r="B44" s="6"/>
      <c r="C44" s="2">
        <v>1</v>
      </c>
      <c r="D44" s="2"/>
      <c r="E44" s="2" t="s">
        <v>108</v>
      </c>
      <c r="F44" s="2" t="s">
        <v>109</v>
      </c>
      <c r="G44" s="6" t="s">
        <v>30</v>
      </c>
      <c r="H44" s="2" t="s">
        <v>31</v>
      </c>
      <c r="I44" s="2" t="s">
        <v>32</v>
      </c>
      <c r="J44" s="2">
        <v>0.87</v>
      </c>
      <c r="K44" s="2">
        <v>0.82</v>
      </c>
      <c r="L44" s="2">
        <v>1.7</v>
      </c>
      <c r="M44" s="2">
        <v>10</v>
      </c>
      <c r="N44" s="4" t="s">
        <v>33</v>
      </c>
      <c r="O44" s="9" t="s">
        <v>34</v>
      </c>
      <c r="P44" s="2">
        <v>17</v>
      </c>
      <c r="Q44" s="2">
        <v>0</v>
      </c>
      <c r="R44" s="6" t="s">
        <v>34</v>
      </c>
      <c r="S44" s="2"/>
      <c r="T44" s="2">
        <v>873.39</v>
      </c>
      <c r="U44" s="2">
        <v>87.34</v>
      </c>
      <c r="V44" s="2"/>
      <c r="W44" s="2"/>
      <c r="X44" s="2"/>
      <c r="Y44" s="2">
        <v>192.15</v>
      </c>
      <c r="Z44" s="2"/>
      <c r="AA44" s="10">
        <v>1152.88</v>
      </c>
    </row>
    <row r="45" ht="15">
      <c r="A45">
        <v>41</v>
      </c>
      <c r="B45" s="6"/>
      <c r="C45" s="2">
        <v>1</v>
      </c>
      <c r="D45" s="2"/>
      <c r="E45" s="2" t="s">
        <v>110</v>
      </c>
      <c r="F45" s="2" t="s">
        <v>111</v>
      </c>
      <c r="G45" s="6" t="s">
        <v>30</v>
      </c>
      <c r="H45" s="2" t="s">
        <v>31</v>
      </c>
      <c r="I45" s="2" t="s">
        <v>32</v>
      </c>
      <c r="J45" s="2">
        <v>5.792</v>
      </c>
      <c r="K45" s="2">
        <v>5.46</v>
      </c>
      <c r="L45" s="2">
        <v>8.2</v>
      </c>
      <c r="M45" s="2">
        <v>4</v>
      </c>
      <c r="N45" s="4" t="s">
        <v>33</v>
      </c>
      <c r="O45" s="9" t="s">
        <v>34</v>
      </c>
      <c r="P45" s="2">
        <v>32.8</v>
      </c>
      <c r="Q45" s="2">
        <v>0</v>
      </c>
      <c r="R45" s="6" t="s">
        <v>34</v>
      </c>
      <c r="S45" s="2"/>
      <c r="T45" s="2">
        <v>1710.57</v>
      </c>
      <c r="U45" s="2">
        <v>171.06</v>
      </c>
      <c r="V45" s="2"/>
      <c r="W45" s="2"/>
      <c r="X45" s="2"/>
      <c r="Y45" s="2">
        <v>376.33</v>
      </c>
      <c r="Z45" s="2"/>
      <c r="AA45" s="10">
        <v>2257.96</v>
      </c>
    </row>
    <row r="46" ht="15">
      <c r="A46">
        <v>42</v>
      </c>
      <c r="B46" s="6"/>
      <c r="C46" s="2">
        <v>1</v>
      </c>
      <c r="D46" s="2"/>
      <c r="E46" s="2" t="s">
        <v>112</v>
      </c>
      <c r="F46" s="2" t="s">
        <v>113</v>
      </c>
      <c r="G46" s="6" t="s">
        <v>30</v>
      </c>
      <c r="H46" s="2" t="s">
        <v>31</v>
      </c>
      <c r="I46" s="2" t="s">
        <v>32</v>
      </c>
      <c r="J46" s="2">
        <v>0.808</v>
      </c>
      <c r="K46" s="2">
        <v>0.76</v>
      </c>
      <c r="L46" s="2">
        <v>6.5</v>
      </c>
      <c r="M46" s="2">
        <v>4</v>
      </c>
      <c r="N46" s="4" t="s">
        <v>33</v>
      </c>
      <c r="O46" s="9" t="s">
        <v>34</v>
      </c>
      <c r="P46" s="2">
        <v>26</v>
      </c>
      <c r="Q46" s="2">
        <v>0</v>
      </c>
      <c r="R46" s="6" t="s">
        <v>34</v>
      </c>
      <c r="S46" s="2"/>
      <c r="T46" s="2">
        <v>1332.54</v>
      </c>
      <c r="U46" s="2">
        <v>133.25</v>
      </c>
      <c r="V46" s="2"/>
      <c r="W46" s="2"/>
      <c r="X46" s="2"/>
      <c r="Y46" s="2">
        <v>293.16</v>
      </c>
      <c r="Z46" s="2"/>
      <c r="AA46" s="10">
        <v>1758.95</v>
      </c>
    </row>
    <row r="47" ht="15">
      <c r="A47">
        <v>43</v>
      </c>
      <c r="B47" s="6"/>
      <c r="C47" s="2">
        <v>1</v>
      </c>
      <c r="D47" s="2"/>
      <c r="E47" s="2" t="s">
        <v>114</v>
      </c>
      <c r="F47" s="2" t="s">
        <v>115</v>
      </c>
      <c r="G47" s="6" t="s">
        <v>30</v>
      </c>
      <c r="H47" s="2" t="s">
        <v>31</v>
      </c>
      <c r="I47" s="2" t="s">
        <v>32</v>
      </c>
      <c r="J47" s="2">
        <v>4.5</v>
      </c>
      <c r="K47" s="2">
        <v>4.25</v>
      </c>
      <c r="L47" s="2">
        <v>3.4</v>
      </c>
      <c r="M47" s="2">
        <v>50</v>
      </c>
      <c r="N47" s="4" t="s">
        <v>33</v>
      </c>
      <c r="O47" s="9" t="s">
        <v>34</v>
      </c>
      <c r="P47" s="2">
        <v>170</v>
      </c>
      <c r="Q47" s="2">
        <v>0</v>
      </c>
      <c r="R47" s="6" t="s">
        <v>34</v>
      </c>
      <c r="S47" s="2"/>
      <c r="T47" s="2">
        <v>8707.94</v>
      </c>
      <c r="U47" s="2">
        <v>870.79</v>
      </c>
      <c r="V47" s="2"/>
      <c r="W47" s="2"/>
      <c r="X47" s="2"/>
      <c r="Y47" s="2">
        <v>1915.75</v>
      </c>
      <c r="Z47" s="2"/>
      <c r="AA47" s="10">
        <v>11494.48</v>
      </c>
    </row>
    <row r="48" ht="15">
      <c r="A48">
        <v>44</v>
      </c>
      <c r="B48" s="6"/>
      <c r="C48" s="2">
        <v>1</v>
      </c>
      <c r="D48" s="2"/>
      <c r="E48" s="2" t="s">
        <v>116</v>
      </c>
      <c r="F48" s="2" t="s">
        <v>98</v>
      </c>
      <c r="G48" s="6" t="s">
        <v>30</v>
      </c>
      <c r="H48" s="2" t="s">
        <v>31</v>
      </c>
      <c r="I48" s="2" t="s">
        <v>32</v>
      </c>
      <c r="J48" s="2">
        <v>2.02</v>
      </c>
      <c r="K48" s="2">
        <v>1.9</v>
      </c>
      <c r="L48" s="2">
        <v>10.5</v>
      </c>
      <c r="M48" s="2">
        <v>10</v>
      </c>
      <c r="N48" s="4" t="s">
        <v>33</v>
      </c>
      <c r="O48" s="9" t="s">
        <v>34</v>
      </c>
      <c r="P48" s="2">
        <v>105</v>
      </c>
      <c r="Q48" s="2">
        <v>0</v>
      </c>
      <c r="R48" s="6" t="s">
        <v>34</v>
      </c>
      <c r="S48" s="2"/>
      <c r="T48" s="2">
        <v>5373.74</v>
      </c>
      <c r="U48" s="2">
        <v>537.37</v>
      </c>
      <c r="V48" s="2"/>
      <c r="W48" s="2"/>
      <c r="X48" s="2"/>
      <c r="Y48" s="2">
        <v>1182.22</v>
      </c>
      <c r="Z48" s="2"/>
      <c r="AA48" s="10">
        <v>7093.33</v>
      </c>
    </row>
    <row r="49" ht="15">
      <c r="A49">
        <v>45</v>
      </c>
      <c r="B49" s="6"/>
      <c r="C49" s="2">
        <v>1</v>
      </c>
      <c r="D49" s="2"/>
      <c r="E49" s="2" t="s">
        <v>117</v>
      </c>
      <c r="F49" s="2" t="s">
        <v>118</v>
      </c>
      <c r="G49" s="6" t="s">
        <v>30</v>
      </c>
      <c r="H49" s="2" t="s">
        <v>31</v>
      </c>
      <c r="I49" s="2" t="s">
        <v>32</v>
      </c>
      <c r="J49" s="2">
        <v>0.585</v>
      </c>
      <c r="K49" s="2">
        <v>0.55</v>
      </c>
      <c r="L49" s="2">
        <v>7</v>
      </c>
      <c r="M49" s="2">
        <v>5</v>
      </c>
      <c r="N49" s="4" t="s">
        <v>33</v>
      </c>
      <c r="O49" s="9" t="s">
        <v>34</v>
      </c>
      <c r="P49" s="2">
        <v>35</v>
      </c>
      <c r="Q49" s="2">
        <v>0</v>
      </c>
      <c r="R49" s="6" t="s">
        <v>34</v>
      </c>
      <c r="S49" s="2"/>
      <c r="T49" s="2">
        <v>1790.7</v>
      </c>
      <c r="U49" s="2">
        <v>179.07</v>
      </c>
      <c r="V49" s="2"/>
      <c r="W49" s="2"/>
      <c r="X49" s="2"/>
      <c r="Y49" s="2">
        <v>393.95</v>
      </c>
      <c r="Z49" s="2"/>
      <c r="AA49" s="10">
        <v>2363.72</v>
      </c>
    </row>
    <row r="50" ht="15">
      <c r="A50" s="11"/>
      <c r="B50" s="11"/>
      <c r="C50" s="11"/>
      <c r="D50" s="11"/>
      <c r="E50" s="11"/>
      <c r="F50" s="11" t="s">
        <v>119</v>
      </c>
      <c r="G50" s="11"/>
      <c r="H50" s="11"/>
      <c r="I50" s="11"/>
      <c r="J50" s="11">
        <f>SUM(J5:J49)</f>
        <v>0</v>
      </c>
      <c r="K50" s="11">
        <f>SUM(K5:K49)</f>
        <v>0</v>
      </c>
      <c r="L50" s="11"/>
      <c r="M50" s="11">
        <f>SUM(M5:M49)</f>
        <v>0</v>
      </c>
      <c r="N50" s="12"/>
      <c r="O50" s="14"/>
      <c r="P50" s="11">
        <f>SUM(P5:P49)</f>
        <v>0</v>
      </c>
      <c r="Q50" s="11">
        <f>SUM(Q5:Q49)</f>
        <v>0</v>
      </c>
      <c r="R50" s="11"/>
      <c r="S50" s="11">
        <f>SUM(S5:S49)</f>
        <v>0</v>
      </c>
      <c r="T50" s="11"/>
      <c r="U50" s="11"/>
      <c r="V50" s="11"/>
      <c r="W50" s="11"/>
      <c r="X50" s="11"/>
      <c r="Y50" s="11"/>
      <c r="Z50" s="11"/>
      <c r="AA50" s="11"/>
    </row>
    <row r="51" ht="15">
      <c r="A51">
        <v>1</v>
      </c>
      <c r="B51" s="6" t="s">
        <v>120</v>
      </c>
      <c r="C51" s="2">
        <v>2</v>
      </c>
      <c r="D51" s="2"/>
      <c r="E51" s="2" t="s">
        <v>121</v>
      </c>
      <c r="F51" s="2" t="s">
        <v>122</v>
      </c>
      <c r="G51" s="6" t="s">
        <v>30</v>
      </c>
      <c r="H51" s="2" t="s">
        <v>31</v>
      </c>
      <c r="I51" s="2" t="s">
        <v>32</v>
      </c>
      <c r="J51" s="2">
        <v>1.92</v>
      </c>
      <c r="K51" s="2">
        <v>1.8</v>
      </c>
      <c r="L51" s="2">
        <v>3.4</v>
      </c>
      <c r="M51" s="2">
        <v>30</v>
      </c>
      <c r="N51" s="4" t="s">
        <v>33</v>
      </c>
      <c r="O51" s="9" t="s">
        <v>34</v>
      </c>
      <c r="P51" s="2">
        <v>102</v>
      </c>
      <c r="Q51" s="2">
        <v>0</v>
      </c>
      <c r="R51" s="6" t="s">
        <v>34</v>
      </c>
      <c r="S51" s="2"/>
      <c r="T51" s="2">
        <v>5219.94</v>
      </c>
      <c r="U51" s="2">
        <v>521.99</v>
      </c>
      <c r="V51" s="2"/>
      <c r="W51" s="2"/>
      <c r="X51" s="2"/>
      <c r="Y51" s="2">
        <v>1148.39</v>
      </c>
      <c r="Z51" s="2"/>
      <c r="AA51" s="10">
        <v>6890.32</v>
      </c>
    </row>
    <row r="52" ht="15">
      <c r="A52">
        <v>2</v>
      </c>
      <c r="B52" s="6"/>
      <c r="C52" s="2">
        <v>2</v>
      </c>
      <c r="D52" s="2"/>
      <c r="E52" s="2" t="s">
        <v>123</v>
      </c>
      <c r="F52" s="2" t="s">
        <v>124</v>
      </c>
      <c r="G52" s="6" t="s">
        <v>30</v>
      </c>
      <c r="H52" s="2" t="s">
        <v>31</v>
      </c>
      <c r="I52" s="2" t="s">
        <v>32</v>
      </c>
      <c r="J52" s="2">
        <v>0.17</v>
      </c>
      <c r="K52" s="2">
        <v>0.16</v>
      </c>
      <c r="L52" s="2">
        <v>4.9</v>
      </c>
      <c r="M52" s="2">
        <v>2</v>
      </c>
      <c r="N52" s="4" t="s">
        <v>33</v>
      </c>
      <c r="O52" s="9" t="s">
        <v>34</v>
      </c>
      <c r="P52" s="2">
        <v>9.8</v>
      </c>
      <c r="Q52" s="2">
        <v>0</v>
      </c>
      <c r="R52" s="6" t="s">
        <v>34</v>
      </c>
      <c r="S52" s="2"/>
      <c r="T52" s="2">
        <v>501.43</v>
      </c>
      <c r="U52" s="2">
        <v>50.14</v>
      </c>
      <c r="V52" s="2"/>
      <c r="W52" s="2"/>
      <c r="X52" s="2"/>
      <c r="Y52" s="2">
        <v>110.31</v>
      </c>
      <c r="Z52" s="2"/>
      <c r="AA52" s="10">
        <v>661.88</v>
      </c>
    </row>
    <row r="53" ht="15">
      <c r="A53">
        <v>3</v>
      </c>
      <c r="B53" s="6"/>
      <c r="C53" s="2">
        <v>2</v>
      </c>
      <c r="D53" s="2"/>
      <c r="E53" s="2" t="s">
        <v>125</v>
      </c>
      <c r="F53" s="2" t="s">
        <v>126</v>
      </c>
      <c r="G53" s="6" t="s">
        <v>30</v>
      </c>
      <c r="H53" s="2" t="s">
        <v>31</v>
      </c>
      <c r="I53" s="2" t="s">
        <v>32</v>
      </c>
      <c r="J53" s="2">
        <v>1.06</v>
      </c>
      <c r="K53" s="2">
        <v>1</v>
      </c>
      <c r="L53" s="2">
        <v>9.1</v>
      </c>
      <c r="M53" s="2">
        <v>10</v>
      </c>
      <c r="N53" s="4" t="s">
        <v>33</v>
      </c>
      <c r="O53" s="9" t="s">
        <v>34</v>
      </c>
      <c r="P53" s="2">
        <v>91</v>
      </c>
      <c r="Q53" s="2">
        <v>0</v>
      </c>
      <c r="R53" s="6" t="s">
        <v>34</v>
      </c>
      <c r="S53" s="2"/>
      <c r="T53" s="2">
        <v>4652.97</v>
      </c>
      <c r="U53" s="2">
        <v>465.3</v>
      </c>
      <c r="V53" s="2"/>
      <c r="W53" s="2"/>
      <c r="X53" s="2"/>
      <c r="Y53" s="2">
        <v>1023.65</v>
      </c>
      <c r="Z53" s="2"/>
      <c r="AA53" s="10">
        <v>6141.92</v>
      </c>
    </row>
    <row r="54" ht="15">
      <c r="A54">
        <v>4</v>
      </c>
      <c r="B54" s="6"/>
      <c r="C54" s="2">
        <v>2</v>
      </c>
      <c r="D54" s="2"/>
      <c r="E54" s="2" t="s">
        <v>127</v>
      </c>
      <c r="F54" s="2" t="s">
        <v>128</v>
      </c>
      <c r="G54" s="6" t="s">
        <v>30</v>
      </c>
      <c r="H54" s="2" t="s">
        <v>31</v>
      </c>
      <c r="I54" s="2" t="s">
        <v>32</v>
      </c>
      <c r="J54" s="2">
        <v>7.64</v>
      </c>
      <c r="K54" s="2">
        <v>7.2</v>
      </c>
      <c r="L54" s="2">
        <v>12.2</v>
      </c>
      <c r="M54" s="2">
        <v>40</v>
      </c>
      <c r="N54" s="4" t="s">
        <v>33</v>
      </c>
      <c r="O54" s="9" t="s">
        <v>34</v>
      </c>
      <c r="P54" s="2">
        <v>488</v>
      </c>
      <c r="Q54" s="2">
        <v>0</v>
      </c>
      <c r="R54" s="6" t="s">
        <v>34</v>
      </c>
      <c r="S54" s="2"/>
      <c r="T54" s="13">
        <f>SUM(24964.28,0.01)</f>
        <v>0</v>
      </c>
      <c r="U54" s="2">
        <v>2496.43</v>
      </c>
      <c r="V54" s="2"/>
      <c r="W54" s="2"/>
      <c r="X54" s="2"/>
      <c r="Y54" s="2">
        <v>5492.14</v>
      </c>
      <c r="Z54" s="2"/>
      <c r="AA54" s="10">
        <v>32952.85</v>
      </c>
    </row>
    <row r="55" ht="15">
      <c r="A55">
        <v>5</v>
      </c>
      <c r="B55" s="6"/>
      <c r="C55" s="2">
        <v>2</v>
      </c>
      <c r="D55" s="2"/>
      <c r="E55" s="2" t="s">
        <v>129</v>
      </c>
      <c r="F55" s="2" t="s">
        <v>130</v>
      </c>
      <c r="G55" s="6" t="s">
        <v>30</v>
      </c>
      <c r="H55" s="2" t="s">
        <v>31</v>
      </c>
      <c r="I55" s="2" t="s">
        <v>32</v>
      </c>
      <c r="J55" s="2">
        <v>1.91</v>
      </c>
      <c r="K55" s="2">
        <v>1.8</v>
      </c>
      <c r="L55" s="2">
        <v>5.2</v>
      </c>
      <c r="M55" s="2">
        <v>10</v>
      </c>
      <c r="N55" s="4" t="s">
        <v>33</v>
      </c>
      <c r="O55" s="9" t="s">
        <v>34</v>
      </c>
      <c r="P55" s="2">
        <v>52</v>
      </c>
      <c r="Q55" s="2">
        <v>0</v>
      </c>
      <c r="R55" s="6" t="s">
        <v>34</v>
      </c>
      <c r="S55" s="2"/>
      <c r="T55" s="2">
        <v>2666.91</v>
      </c>
      <c r="U55" s="2">
        <v>266.69</v>
      </c>
      <c r="V55" s="2"/>
      <c r="W55" s="2"/>
      <c r="X55" s="2"/>
      <c r="Y55" s="2">
        <v>586.72</v>
      </c>
      <c r="Z55" s="2"/>
      <c r="AA55" s="10">
        <v>3520.32</v>
      </c>
    </row>
    <row r="56" ht="15">
      <c r="A56">
        <v>6</v>
      </c>
      <c r="B56" s="6"/>
      <c r="C56" s="2">
        <v>2</v>
      </c>
      <c r="D56" s="2"/>
      <c r="E56" s="2" t="s">
        <v>131</v>
      </c>
      <c r="F56" s="2" t="s">
        <v>132</v>
      </c>
      <c r="G56" s="6" t="s">
        <v>30</v>
      </c>
      <c r="H56" s="2" t="s">
        <v>31</v>
      </c>
      <c r="I56" s="2" t="s">
        <v>32</v>
      </c>
      <c r="J56" s="2">
        <v>0.315</v>
      </c>
      <c r="K56" s="2">
        <v>0.3</v>
      </c>
      <c r="L56" s="2">
        <v>0.8</v>
      </c>
      <c r="M56" s="2">
        <v>15</v>
      </c>
      <c r="N56" s="4" t="s">
        <v>33</v>
      </c>
      <c r="O56" s="9" t="s">
        <v>34</v>
      </c>
      <c r="P56" s="2">
        <v>12</v>
      </c>
      <c r="Q56" s="2">
        <v>0</v>
      </c>
      <c r="R56" s="6" t="s">
        <v>34</v>
      </c>
      <c r="S56" s="2"/>
      <c r="T56" s="2">
        <v>614.66</v>
      </c>
      <c r="U56" s="2">
        <v>61.47</v>
      </c>
      <c r="V56" s="2"/>
      <c r="W56" s="2"/>
      <c r="X56" s="2"/>
      <c r="Y56" s="2">
        <v>135.23</v>
      </c>
      <c r="Z56" s="2"/>
      <c r="AA56" s="10">
        <v>811.36</v>
      </c>
    </row>
    <row r="57" ht="15">
      <c r="A57" s="11"/>
      <c r="B57" s="11"/>
      <c r="C57" s="11"/>
      <c r="D57" s="11"/>
      <c r="E57" s="11"/>
      <c r="F57" s="11" t="s">
        <v>133</v>
      </c>
      <c r="G57" s="11"/>
      <c r="H57" s="11"/>
      <c r="I57" s="11"/>
      <c r="J57" s="11">
        <f>SUM(J51:J56)</f>
        <v>0</v>
      </c>
      <c r="K57" s="11">
        <f>SUM(K51:K56)</f>
        <v>0</v>
      </c>
      <c r="L57" s="11"/>
      <c r="M57" s="11">
        <f>SUM(M51:M56)</f>
        <v>0</v>
      </c>
      <c r="N57" s="12"/>
      <c r="O57" s="14"/>
      <c r="P57" s="11">
        <f>SUM(P51:P56)</f>
        <v>0</v>
      </c>
      <c r="Q57" s="11">
        <f>SUM(Q51:Q56)</f>
        <v>0</v>
      </c>
      <c r="R57" s="11"/>
      <c r="S57" s="11">
        <f>SUM(S51:S56)</f>
        <v>0</v>
      </c>
      <c r="T57" s="11"/>
      <c r="U57" s="11"/>
      <c r="V57" s="11"/>
      <c r="W57" s="11"/>
      <c r="X57" s="11"/>
      <c r="Y57" s="11"/>
      <c r="Z57" s="11"/>
      <c r="AA57" s="11"/>
    </row>
    <row r="58" ht="15">
      <c r="A58">
        <v>1</v>
      </c>
      <c r="B58" s="6" t="s">
        <v>134</v>
      </c>
      <c r="C58" s="2">
        <v>3</v>
      </c>
      <c r="D58" s="2"/>
      <c r="E58" s="2" t="s">
        <v>135</v>
      </c>
      <c r="F58" s="2" t="s">
        <v>136</v>
      </c>
      <c r="G58" s="6" t="s">
        <v>30</v>
      </c>
      <c r="H58" s="2" t="s">
        <v>31</v>
      </c>
      <c r="I58" s="2" t="s">
        <v>32</v>
      </c>
      <c r="J58" s="2">
        <v>2.55</v>
      </c>
      <c r="K58" s="2">
        <v>2.4</v>
      </c>
      <c r="L58" s="2">
        <v>7.2</v>
      </c>
      <c r="M58" s="2">
        <v>10</v>
      </c>
      <c r="N58" s="4" t="s">
        <v>33</v>
      </c>
      <c r="O58" s="9" t="s">
        <v>34</v>
      </c>
      <c r="P58" s="2">
        <v>72</v>
      </c>
      <c r="Q58" s="2">
        <v>0</v>
      </c>
      <c r="R58" s="6" t="s">
        <v>34</v>
      </c>
      <c r="S58" s="2"/>
      <c r="T58" s="2">
        <v>3692.05</v>
      </c>
      <c r="U58" s="2">
        <v>369.21</v>
      </c>
      <c r="V58" s="2"/>
      <c r="W58" s="2"/>
      <c r="X58" s="2"/>
      <c r="Y58" s="2">
        <v>812.25</v>
      </c>
      <c r="Z58" s="2"/>
      <c r="AA58" s="10">
        <v>4873.51</v>
      </c>
    </row>
    <row r="59" ht="15">
      <c r="A59">
        <v>2</v>
      </c>
      <c r="B59" s="6"/>
      <c r="C59" s="2">
        <v>3</v>
      </c>
      <c r="D59" s="2"/>
      <c r="E59" s="2" t="s">
        <v>137</v>
      </c>
      <c r="F59" s="2" t="s">
        <v>138</v>
      </c>
      <c r="G59" s="6" t="s">
        <v>30</v>
      </c>
      <c r="H59" s="2" t="s">
        <v>31</v>
      </c>
      <c r="I59" s="2" t="s">
        <v>32</v>
      </c>
      <c r="J59" s="2">
        <v>1.48</v>
      </c>
      <c r="K59" s="2">
        <v>1.4</v>
      </c>
      <c r="L59" s="2">
        <v>7.4</v>
      </c>
      <c r="M59" s="2">
        <v>20</v>
      </c>
      <c r="N59" s="4" t="s">
        <v>33</v>
      </c>
      <c r="O59" s="9" t="s">
        <v>34</v>
      </c>
      <c r="P59" s="2">
        <v>148</v>
      </c>
      <c r="Q59" s="2">
        <v>0</v>
      </c>
      <c r="R59" s="6" t="s">
        <v>34</v>
      </c>
      <c r="S59" s="2"/>
      <c r="T59" s="2">
        <v>7565.96</v>
      </c>
      <c r="U59" s="2">
        <v>756.6</v>
      </c>
      <c r="V59" s="2"/>
      <c r="W59" s="2"/>
      <c r="X59" s="2"/>
      <c r="Y59" s="2">
        <v>1664.51</v>
      </c>
      <c r="Z59" s="2"/>
      <c r="AA59" s="10">
        <v>9987.07</v>
      </c>
    </row>
    <row r="60" ht="15">
      <c r="A60">
        <v>3</v>
      </c>
      <c r="B60" s="6"/>
      <c r="C60" s="2">
        <v>3</v>
      </c>
      <c r="D60" s="2"/>
      <c r="E60" s="2" t="s">
        <v>139</v>
      </c>
      <c r="F60" s="2" t="s">
        <v>140</v>
      </c>
      <c r="G60" s="6" t="s">
        <v>30</v>
      </c>
      <c r="H60" s="2" t="s">
        <v>31</v>
      </c>
      <c r="I60" s="2" t="s">
        <v>32</v>
      </c>
      <c r="J60" s="2">
        <v>1.06</v>
      </c>
      <c r="K60" s="2">
        <v>1</v>
      </c>
      <c r="L60" s="2">
        <v>16.8</v>
      </c>
      <c r="M60" s="2">
        <v>10</v>
      </c>
      <c r="N60" s="4" t="s">
        <v>33</v>
      </c>
      <c r="O60" s="9" t="s">
        <v>34</v>
      </c>
      <c r="P60" s="2">
        <v>168</v>
      </c>
      <c r="Q60" s="2">
        <v>0</v>
      </c>
      <c r="R60" s="6" t="s">
        <v>34</v>
      </c>
      <c r="S60" s="2"/>
      <c r="T60" s="13">
        <f>SUM(8584.55,0.01)</f>
        <v>0</v>
      </c>
      <c r="U60" s="13">
        <f>SUM(858.46,-0.01)</f>
        <v>0</v>
      </c>
      <c r="V60" s="2"/>
      <c r="W60" s="2"/>
      <c r="X60" s="2"/>
      <c r="Y60" s="2">
        <v>1888.6</v>
      </c>
      <c r="Z60" s="2"/>
      <c r="AA60" s="10">
        <v>11331.61</v>
      </c>
    </row>
    <row r="61" ht="15">
      <c r="A61">
        <v>4</v>
      </c>
      <c r="B61" s="6"/>
      <c r="C61" s="2">
        <v>3</v>
      </c>
      <c r="D61" s="2"/>
      <c r="E61" s="2" t="s">
        <v>141</v>
      </c>
      <c r="F61" s="2" t="s">
        <v>142</v>
      </c>
      <c r="G61" s="6" t="s">
        <v>30</v>
      </c>
      <c r="H61" s="2" t="s">
        <v>31</v>
      </c>
      <c r="I61" s="2" t="s">
        <v>32</v>
      </c>
      <c r="J61" s="2">
        <v>1.14</v>
      </c>
      <c r="K61" s="2">
        <v>1.08</v>
      </c>
      <c r="L61" s="2">
        <v>4.3</v>
      </c>
      <c r="M61" s="2">
        <v>15</v>
      </c>
      <c r="N61" s="4" t="s">
        <v>33</v>
      </c>
      <c r="O61" s="9" t="s">
        <v>34</v>
      </c>
      <c r="P61" s="2">
        <v>64.5</v>
      </c>
      <c r="Q61" s="2">
        <v>0</v>
      </c>
      <c r="R61" s="6" t="s">
        <v>34</v>
      </c>
      <c r="S61" s="2"/>
      <c r="T61" s="2">
        <v>3300.39</v>
      </c>
      <c r="U61" s="2">
        <v>330.04</v>
      </c>
      <c r="V61" s="2"/>
      <c r="W61" s="2"/>
      <c r="X61" s="2"/>
      <c r="Y61" s="2">
        <v>726.09</v>
      </c>
      <c r="Z61" s="2"/>
      <c r="AA61" s="10">
        <v>4356.52</v>
      </c>
    </row>
    <row r="62" ht="15">
      <c r="A62">
        <v>5</v>
      </c>
      <c r="B62" s="6"/>
      <c r="C62" s="2">
        <v>3</v>
      </c>
      <c r="D62" s="2"/>
      <c r="E62" s="2" t="s">
        <v>143</v>
      </c>
      <c r="F62" s="2" t="s">
        <v>144</v>
      </c>
      <c r="G62" s="6" t="s">
        <v>30</v>
      </c>
      <c r="H62" s="2" t="s">
        <v>31</v>
      </c>
      <c r="I62" s="2" t="s">
        <v>32</v>
      </c>
      <c r="J62" s="2">
        <v>2.33</v>
      </c>
      <c r="K62" s="2">
        <v>2.2</v>
      </c>
      <c r="L62" s="2">
        <v>9.4</v>
      </c>
      <c r="M62" s="2">
        <v>10</v>
      </c>
      <c r="N62" s="4" t="s">
        <v>33</v>
      </c>
      <c r="O62" s="9" t="s">
        <v>34</v>
      </c>
      <c r="P62" s="2">
        <v>94</v>
      </c>
      <c r="Q62" s="2">
        <v>0</v>
      </c>
      <c r="R62" s="6" t="s">
        <v>34</v>
      </c>
      <c r="S62" s="2"/>
      <c r="T62" s="2">
        <v>4814</v>
      </c>
      <c r="U62" s="2">
        <v>481.4</v>
      </c>
      <c r="V62" s="2"/>
      <c r="W62" s="2"/>
      <c r="X62" s="2"/>
      <c r="Y62" s="2">
        <v>1059.08</v>
      </c>
      <c r="Z62" s="2"/>
      <c r="AA62" s="10">
        <v>6354.48</v>
      </c>
    </row>
    <row r="63" ht="15">
      <c r="A63" s="11"/>
      <c r="B63" s="11"/>
      <c r="C63" s="11"/>
      <c r="D63" s="11"/>
      <c r="E63" s="11"/>
      <c r="F63" s="11" t="s">
        <v>145</v>
      </c>
      <c r="G63" s="11"/>
      <c r="H63" s="11"/>
      <c r="I63" s="11"/>
      <c r="J63" s="11">
        <f>SUM(J58:J62)</f>
        <v>0</v>
      </c>
      <c r="K63" s="11">
        <f>SUM(K58:K62)</f>
        <v>0</v>
      </c>
      <c r="L63" s="11"/>
      <c r="M63" s="11">
        <f>SUM(M58:M62)</f>
        <v>0</v>
      </c>
      <c r="N63" s="12"/>
      <c r="O63" s="14"/>
      <c r="P63" s="11">
        <f>SUM(P58:P62)</f>
        <v>0</v>
      </c>
      <c r="Q63" s="11">
        <f>SUM(Q58:Q62)</f>
        <v>0</v>
      </c>
      <c r="R63" s="11"/>
      <c r="S63" s="11">
        <f>SUM(S58:S62)</f>
        <v>0</v>
      </c>
      <c r="T63" s="11"/>
      <c r="U63" s="11"/>
      <c r="V63" s="11"/>
      <c r="W63" s="11"/>
      <c r="X63" s="11"/>
      <c r="Y63" s="11"/>
      <c r="Z63" s="11"/>
      <c r="AA63" s="11"/>
    </row>
    <row r="64" ht="15">
      <c r="A64">
        <v>1</v>
      </c>
      <c r="B64" s="6" t="s">
        <v>146</v>
      </c>
      <c r="C64" s="2">
        <v>4</v>
      </c>
      <c r="D64" s="2"/>
      <c r="E64" s="2" t="s">
        <v>147</v>
      </c>
      <c r="F64" s="2" t="s">
        <v>148</v>
      </c>
      <c r="G64" s="6" t="s">
        <v>30</v>
      </c>
      <c r="H64" s="2" t="s">
        <v>31</v>
      </c>
      <c r="I64" s="2" t="s">
        <v>32</v>
      </c>
      <c r="J64" s="2">
        <v>2.08</v>
      </c>
      <c r="K64" s="2">
        <v>1.96</v>
      </c>
      <c r="L64" s="2">
        <v>24.3</v>
      </c>
      <c r="M64" s="2">
        <v>8</v>
      </c>
      <c r="N64" s="4" t="s">
        <v>33</v>
      </c>
      <c r="O64" s="9" t="s">
        <v>34</v>
      </c>
      <c r="P64" s="2">
        <v>194.4</v>
      </c>
      <c r="Q64" s="2">
        <v>0</v>
      </c>
      <c r="R64" s="6" t="s">
        <v>34</v>
      </c>
      <c r="S64" s="2"/>
      <c r="T64" s="2">
        <v>9938.83</v>
      </c>
      <c r="U64" s="2">
        <v>496.94</v>
      </c>
      <c r="V64" s="2"/>
      <c r="W64" s="2"/>
      <c r="X64" s="2"/>
      <c r="Y64" s="2">
        <v>2087.15</v>
      </c>
      <c r="Z64" s="2"/>
      <c r="AA64" s="10">
        <v>12522.92</v>
      </c>
    </row>
    <row r="65" ht="15">
      <c r="A65" s="11"/>
      <c r="B65" s="11"/>
      <c r="C65" s="11"/>
      <c r="D65" s="11"/>
      <c r="E65" s="11"/>
      <c r="F65" s="11" t="s">
        <v>149</v>
      </c>
      <c r="G65" s="11"/>
      <c r="H65" s="11"/>
      <c r="I65" s="11"/>
      <c r="J65" s="11">
        <f>SUM(J64:J64)</f>
        <v>0</v>
      </c>
      <c r="K65" s="11">
        <f>SUM(K64:K64)</f>
        <v>0</v>
      </c>
      <c r="L65" s="11"/>
      <c r="M65" s="11">
        <f>SUM(M64:M64)</f>
        <v>0</v>
      </c>
      <c r="N65" s="12"/>
      <c r="O65" s="14"/>
      <c r="P65" s="11">
        <f>SUM(P64:P64)</f>
        <v>0</v>
      </c>
      <c r="Q65" s="11">
        <f>SUM(Q64:Q64)</f>
        <v>0</v>
      </c>
      <c r="R65" s="11"/>
      <c r="S65" s="11">
        <f>SUM(S64:S64)</f>
        <v>0</v>
      </c>
      <c r="T65" s="11"/>
      <c r="U65" s="11"/>
      <c r="V65" s="11"/>
      <c r="W65" s="11"/>
      <c r="X65" s="11"/>
      <c r="Y65" s="11"/>
      <c r="Z65" s="11"/>
      <c r="AA65" s="11"/>
    </row>
    <row r="66" ht="15">
      <c r="A66">
        <v>1</v>
      </c>
      <c r="B66" s="6" t="s">
        <v>150</v>
      </c>
      <c r="C66" s="2">
        <v>5</v>
      </c>
      <c r="D66" s="2"/>
      <c r="E66" s="2" t="s">
        <v>151</v>
      </c>
      <c r="F66" s="2" t="s">
        <v>152</v>
      </c>
      <c r="G66" s="6" t="s">
        <v>30</v>
      </c>
      <c r="H66" s="2" t="s">
        <v>31</v>
      </c>
      <c r="I66" s="2" t="s">
        <v>32</v>
      </c>
      <c r="J66" s="2">
        <v>18.05</v>
      </c>
      <c r="K66" s="2">
        <v>17</v>
      </c>
      <c r="L66" s="2">
        <v>1.8</v>
      </c>
      <c r="M66" s="2">
        <v>50</v>
      </c>
      <c r="N66" s="4" t="s">
        <v>33</v>
      </c>
      <c r="O66" s="9" t="s">
        <v>34</v>
      </c>
      <c r="P66" s="2">
        <v>90</v>
      </c>
      <c r="Q66" s="2">
        <v>0</v>
      </c>
      <c r="R66" s="6" t="s">
        <v>34</v>
      </c>
      <c r="S66" s="2"/>
      <c r="T66" s="2">
        <v>4706.98</v>
      </c>
      <c r="U66" s="2">
        <v>235.35</v>
      </c>
      <c r="V66" s="2"/>
      <c r="W66" s="2"/>
      <c r="X66" s="2"/>
      <c r="Y66" s="2">
        <v>988.47</v>
      </c>
      <c r="Z66" s="2"/>
      <c r="AA66" s="10">
        <v>5930.8</v>
      </c>
    </row>
    <row r="67" ht="15">
      <c r="A67" s="11"/>
      <c r="B67" s="11"/>
      <c r="C67" s="11"/>
      <c r="D67" s="11"/>
      <c r="E67" s="11"/>
      <c r="F67" s="11" t="s">
        <v>153</v>
      </c>
      <c r="G67" s="11"/>
      <c r="H67" s="11"/>
      <c r="I67" s="11"/>
      <c r="J67" s="11">
        <f>SUM(J66:J66)</f>
        <v>0</v>
      </c>
      <c r="K67" s="11">
        <f>SUM(K66:K66)</f>
        <v>0</v>
      </c>
      <c r="L67" s="11"/>
      <c r="M67" s="11">
        <f>SUM(M66:M66)</f>
        <v>0</v>
      </c>
      <c r="N67" s="12"/>
      <c r="O67" s="14"/>
      <c r="P67" s="11">
        <f>SUM(P66:P66)</f>
        <v>0</v>
      </c>
      <c r="Q67" s="11">
        <f>SUM(Q66:Q66)</f>
        <v>0</v>
      </c>
      <c r="R67" s="11"/>
      <c r="S67" s="11">
        <f>SUM(S66:S66)</f>
        <v>0</v>
      </c>
      <c r="T67" s="11"/>
      <c r="U67" s="11"/>
      <c r="V67" s="11"/>
      <c r="W67" s="11"/>
      <c r="X67" s="11"/>
      <c r="Y67" s="11"/>
      <c r="Z67" s="11"/>
      <c r="AA67" s="11"/>
    </row>
    <row r="68" ht="15">
      <c r="A68">
        <v>1</v>
      </c>
      <c r="B68" s="6" t="s">
        <v>154</v>
      </c>
      <c r="C68" s="2">
        <v>6</v>
      </c>
      <c r="D68" s="2"/>
      <c r="E68" s="2" t="s">
        <v>155</v>
      </c>
      <c r="F68" s="2" t="s">
        <v>156</v>
      </c>
      <c r="G68" s="6" t="s">
        <v>30</v>
      </c>
      <c r="H68" s="2" t="s">
        <v>31</v>
      </c>
      <c r="I68" s="2" t="s">
        <v>32</v>
      </c>
      <c r="J68" s="2">
        <v>2.115</v>
      </c>
      <c r="K68" s="2">
        <v>2</v>
      </c>
      <c r="L68" s="2">
        <v>2.4</v>
      </c>
      <c r="M68" s="2">
        <v>5</v>
      </c>
      <c r="N68" s="4" t="s">
        <v>33</v>
      </c>
      <c r="O68" s="9" t="s">
        <v>34</v>
      </c>
      <c r="P68" s="2">
        <v>12</v>
      </c>
      <c r="Q68" s="2">
        <v>0</v>
      </c>
      <c r="R68" s="6" t="s">
        <v>34</v>
      </c>
      <c r="S68" s="2"/>
      <c r="T68" s="2">
        <v>625.79</v>
      </c>
      <c r="U68" s="2">
        <v>31.29</v>
      </c>
      <c r="V68" s="2"/>
      <c r="W68" s="2"/>
      <c r="X68" s="2"/>
      <c r="Y68" s="2">
        <v>131.42</v>
      </c>
      <c r="Z68" s="2"/>
      <c r="AA68" s="10">
        <v>788.5</v>
      </c>
    </row>
    <row r="69" ht="15">
      <c r="A69" s="11"/>
      <c r="B69" s="11"/>
      <c r="C69" s="11"/>
      <c r="D69" s="11"/>
      <c r="E69" s="11"/>
      <c r="F69" s="11" t="s">
        <v>157</v>
      </c>
      <c r="G69" s="11"/>
      <c r="H69" s="11"/>
      <c r="I69" s="11"/>
      <c r="J69" s="11">
        <f>SUM(J68:J68)</f>
        <v>0</v>
      </c>
      <c r="K69" s="11">
        <f>SUM(K68:K68)</f>
        <v>0</v>
      </c>
      <c r="L69" s="11"/>
      <c r="M69" s="11">
        <f>SUM(M68:M68)</f>
        <v>0</v>
      </c>
      <c r="N69" s="12"/>
      <c r="O69" s="14"/>
      <c r="P69" s="11">
        <f>SUM(P68:P68)</f>
        <v>0</v>
      </c>
      <c r="Q69" s="11">
        <f>SUM(Q68:Q68)</f>
        <v>0</v>
      </c>
      <c r="R69" s="11"/>
      <c r="S69" s="11">
        <f>SUM(S68:S68)</f>
        <v>0</v>
      </c>
      <c r="T69" s="11"/>
      <c r="U69" s="11"/>
      <c r="V69" s="11"/>
      <c r="W69" s="11"/>
      <c r="X69" s="11"/>
      <c r="Y69" s="11"/>
      <c r="Z69" s="11"/>
      <c r="AA69" s="11"/>
    </row>
    <row r="70" ht="15">
      <c r="A70">
        <v>1</v>
      </c>
      <c r="B70" s="6" t="s">
        <v>158</v>
      </c>
      <c r="C70" s="2">
        <v>7</v>
      </c>
      <c r="D70" s="2"/>
      <c r="E70" s="2" t="s">
        <v>159</v>
      </c>
      <c r="F70" s="2" t="s">
        <v>160</v>
      </c>
      <c r="G70" s="6" t="s">
        <v>30</v>
      </c>
      <c r="H70" s="2" t="s">
        <v>31</v>
      </c>
      <c r="I70" s="2" t="s">
        <v>32</v>
      </c>
      <c r="J70" s="2">
        <v>2.86</v>
      </c>
      <c r="K70" s="2">
        <v>2.7</v>
      </c>
      <c r="L70" s="2">
        <v>2.1</v>
      </c>
      <c r="M70" s="2">
        <v>20</v>
      </c>
      <c r="N70" s="4" t="s">
        <v>33</v>
      </c>
      <c r="O70" s="9" t="s">
        <v>34</v>
      </c>
      <c r="P70" s="2">
        <v>42</v>
      </c>
      <c r="Q70" s="2">
        <v>0</v>
      </c>
      <c r="R70" s="6" t="s">
        <v>34</v>
      </c>
      <c r="S70" s="2"/>
      <c r="T70" s="2">
        <v>2162.19</v>
      </c>
      <c r="U70" s="2">
        <v>108.11</v>
      </c>
      <c r="V70" s="2"/>
      <c r="W70" s="2"/>
      <c r="X70" s="2"/>
      <c r="Y70" s="2">
        <v>454.06</v>
      </c>
      <c r="Z70" s="2"/>
      <c r="AA70" s="10">
        <v>2724.36</v>
      </c>
    </row>
    <row r="71" ht="15">
      <c r="A71" s="11"/>
      <c r="B71" s="11"/>
      <c r="C71" s="11"/>
      <c r="D71" s="11"/>
      <c r="E71" s="11"/>
      <c r="F71" s="11" t="s">
        <v>161</v>
      </c>
      <c r="G71" s="11"/>
      <c r="H71" s="11"/>
      <c r="I71" s="11"/>
      <c r="J71" s="11">
        <f>SUM(J70:J70)</f>
        <v>0</v>
      </c>
      <c r="K71" s="11">
        <f>SUM(K70:K70)</f>
        <v>0</v>
      </c>
      <c r="L71" s="11"/>
      <c r="M71" s="11">
        <f>SUM(M70:M70)</f>
        <v>0</v>
      </c>
      <c r="N71" s="12"/>
      <c r="O71" s="14"/>
      <c r="P71" s="11">
        <f>SUM(P70:P70)</f>
        <v>0</v>
      </c>
      <c r="Q71" s="11">
        <f>SUM(Q70:Q70)</f>
        <v>0</v>
      </c>
      <c r="R71" s="11"/>
      <c r="S71" s="11">
        <f>SUM(S70:S70)</f>
        <v>0</v>
      </c>
      <c r="T71" s="11"/>
      <c r="U71" s="11"/>
      <c r="V71" s="11"/>
      <c r="W71" s="11"/>
      <c r="X71" s="11"/>
      <c r="Y71" s="11"/>
      <c r="Z71" s="11"/>
      <c r="AA71" s="11"/>
    </row>
    <row r="72" ht="15">
      <c r="A72">
        <v>1</v>
      </c>
      <c r="B72" s="6" t="s">
        <v>162</v>
      </c>
      <c r="C72" s="2">
        <v>8</v>
      </c>
      <c r="D72" s="2"/>
      <c r="E72" s="2" t="s">
        <v>163</v>
      </c>
      <c r="F72" s="2" t="s">
        <v>164</v>
      </c>
      <c r="G72" s="6" t="s">
        <v>30</v>
      </c>
      <c r="H72" s="2" t="s">
        <v>31</v>
      </c>
      <c r="I72" s="2" t="s">
        <v>32</v>
      </c>
      <c r="J72" s="2">
        <v>0.678</v>
      </c>
      <c r="K72" s="2">
        <v>0.64</v>
      </c>
      <c r="L72" s="2">
        <v>13.8</v>
      </c>
      <c r="M72" s="2">
        <v>2</v>
      </c>
      <c r="N72" s="4" t="s">
        <v>33</v>
      </c>
      <c r="O72" s="9" t="s">
        <v>34</v>
      </c>
      <c r="P72" s="2">
        <v>27.6</v>
      </c>
      <c r="Q72" s="2">
        <v>0</v>
      </c>
      <c r="R72" s="6" t="s">
        <v>34</v>
      </c>
      <c r="S72" s="2"/>
      <c r="T72" s="2">
        <v>1413.44</v>
      </c>
      <c r="U72" s="2">
        <v>0</v>
      </c>
      <c r="V72" s="2"/>
      <c r="W72" s="2"/>
      <c r="X72" s="2"/>
      <c r="Y72" s="2">
        <v>282.69</v>
      </c>
      <c r="Z72" s="2"/>
      <c r="AA72" s="10">
        <v>1696.13</v>
      </c>
    </row>
    <row r="73" ht="15">
      <c r="A73">
        <v>2</v>
      </c>
      <c r="B73" s="6"/>
      <c r="C73" s="2">
        <v>8</v>
      </c>
      <c r="D73" s="2"/>
      <c r="E73" s="2" t="s">
        <v>165</v>
      </c>
      <c r="F73" s="2" t="s">
        <v>166</v>
      </c>
      <c r="G73" s="6" t="s">
        <v>30</v>
      </c>
      <c r="H73" s="2" t="s">
        <v>31</v>
      </c>
      <c r="I73" s="2" t="s">
        <v>32</v>
      </c>
      <c r="J73" s="2">
        <v>0.966</v>
      </c>
      <c r="K73" s="2">
        <v>0.91</v>
      </c>
      <c r="L73" s="2">
        <v>13.6</v>
      </c>
      <c r="M73" s="2">
        <v>2</v>
      </c>
      <c r="N73" s="4" t="s">
        <v>33</v>
      </c>
      <c r="O73" s="9" t="s">
        <v>34</v>
      </c>
      <c r="P73" s="2">
        <v>27.2</v>
      </c>
      <c r="Q73" s="2">
        <v>0</v>
      </c>
      <c r="R73" s="6" t="s">
        <v>34</v>
      </c>
      <c r="S73" s="2"/>
      <c r="T73" s="2">
        <v>1394.79</v>
      </c>
      <c r="U73" s="2">
        <v>0</v>
      </c>
      <c r="V73" s="2"/>
      <c r="W73" s="2"/>
      <c r="X73" s="2"/>
      <c r="Y73" s="2">
        <v>278.96</v>
      </c>
      <c r="Z73" s="2"/>
      <c r="AA73" s="10">
        <v>1673.75</v>
      </c>
    </row>
    <row r="74" ht="15">
      <c r="A74">
        <v>3</v>
      </c>
      <c r="B74" s="6"/>
      <c r="C74" s="2">
        <v>8</v>
      </c>
      <c r="D74" s="2"/>
      <c r="E74" s="2" t="s">
        <v>167</v>
      </c>
      <c r="F74" s="2" t="s">
        <v>166</v>
      </c>
      <c r="G74" s="6" t="s">
        <v>30</v>
      </c>
      <c r="H74" s="2" t="s">
        <v>31</v>
      </c>
      <c r="I74" s="2" t="s">
        <v>32</v>
      </c>
      <c r="J74" s="2">
        <v>1.38</v>
      </c>
      <c r="K74" s="2">
        <v>1.3</v>
      </c>
      <c r="L74" s="2">
        <v>30.3</v>
      </c>
      <c r="M74" s="2">
        <v>2</v>
      </c>
      <c r="N74" s="4" t="s">
        <v>33</v>
      </c>
      <c r="O74" s="9" t="s">
        <v>34</v>
      </c>
      <c r="P74" s="2">
        <v>60.6</v>
      </c>
      <c r="Q74" s="2">
        <v>0</v>
      </c>
      <c r="R74" s="6" t="s">
        <v>34</v>
      </c>
      <c r="S74" s="2"/>
      <c r="T74" s="2">
        <v>3102.74</v>
      </c>
      <c r="U74" s="2">
        <v>0</v>
      </c>
      <c r="V74" s="2"/>
      <c r="W74" s="2"/>
      <c r="X74" s="2"/>
      <c r="Y74" s="13">
        <f>SUM(620.55,-0.01)</f>
        <v>0</v>
      </c>
      <c r="Z74" s="2"/>
      <c r="AA74" s="10">
        <v>3723.29</v>
      </c>
    </row>
    <row r="75" ht="15">
      <c r="A75" s="11"/>
      <c r="B75" s="11"/>
      <c r="C75" s="11"/>
      <c r="D75" s="11"/>
      <c r="E75" s="11"/>
      <c r="F75" s="11" t="s">
        <v>168</v>
      </c>
      <c r="G75" s="11"/>
      <c r="H75" s="11"/>
      <c r="I75" s="11"/>
      <c r="J75" s="11">
        <f>SUM(J72:J74)</f>
        <v>0</v>
      </c>
      <c r="K75" s="11">
        <f>SUM(K72:K74)</f>
        <v>0</v>
      </c>
      <c r="L75" s="11"/>
      <c r="M75" s="11">
        <f>SUM(M72:M74)</f>
        <v>0</v>
      </c>
      <c r="N75" s="12"/>
      <c r="O75" s="14"/>
      <c r="P75" s="11">
        <f>SUM(P72:P74)</f>
        <v>0</v>
      </c>
      <c r="Q75" s="11">
        <f>SUM(Q72:Q74)</f>
        <v>0</v>
      </c>
      <c r="R75" s="11"/>
      <c r="S75" s="11">
        <f>SUM(S72:S74)</f>
        <v>0</v>
      </c>
      <c r="T75" s="11"/>
      <c r="U75" s="11"/>
      <c r="V75" s="11"/>
      <c r="W75" s="11"/>
      <c r="X75" s="11"/>
      <c r="Y75" s="11"/>
      <c r="Z75" s="11"/>
      <c r="AA75" s="11"/>
    </row>
    <row r="76" ht="15">
      <c r="A76">
        <v>1</v>
      </c>
      <c r="B76" s="6" t="s">
        <v>169</v>
      </c>
      <c r="C76" s="2">
        <v>9</v>
      </c>
      <c r="D76" s="2"/>
      <c r="E76" s="2" t="s">
        <v>170</v>
      </c>
      <c r="F76" s="2" t="s">
        <v>171</v>
      </c>
      <c r="G76" s="6" t="s">
        <v>30</v>
      </c>
      <c r="H76" s="2" t="s">
        <v>31</v>
      </c>
      <c r="I76" s="2" t="s">
        <v>32</v>
      </c>
      <c r="J76" s="2">
        <v>6.68</v>
      </c>
      <c r="K76" s="2">
        <v>6.3</v>
      </c>
      <c r="L76" s="2">
        <v>20</v>
      </c>
      <c r="M76" s="2">
        <v>10</v>
      </c>
      <c r="N76" s="4" t="s">
        <v>33</v>
      </c>
      <c r="O76" s="9" t="s">
        <v>34</v>
      </c>
      <c r="P76" s="2">
        <v>200</v>
      </c>
      <c r="Q76" s="2">
        <v>0</v>
      </c>
      <c r="R76" s="6" t="s">
        <v>34</v>
      </c>
      <c r="S76" s="2"/>
      <c r="T76" s="2">
        <v>10253.21</v>
      </c>
      <c r="U76" s="2">
        <v>0</v>
      </c>
      <c r="V76" s="2"/>
      <c r="W76" s="2"/>
      <c r="X76" s="2"/>
      <c r="Y76" s="2">
        <v>2050.64</v>
      </c>
      <c r="Z76" s="2"/>
      <c r="AA76" s="10">
        <v>12303.85</v>
      </c>
    </row>
    <row r="77" ht="15">
      <c r="A77">
        <v>2</v>
      </c>
      <c r="B77" s="6"/>
      <c r="C77" s="2">
        <v>9</v>
      </c>
      <c r="D77" s="2"/>
      <c r="E77" s="2" t="s">
        <v>172</v>
      </c>
      <c r="F77" s="2" t="s">
        <v>173</v>
      </c>
      <c r="G77" s="6" t="s">
        <v>30</v>
      </c>
      <c r="H77" s="2" t="s">
        <v>31</v>
      </c>
      <c r="I77" s="2" t="s">
        <v>32</v>
      </c>
      <c r="J77" s="2">
        <v>1.104</v>
      </c>
      <c r="K77" s="2">
        <v>1.04</v>
      </c>
      <c r="L77" s="2">
        <v>18.1</v>
      </c>
      <c r="M77" s="2">
        <v>2</v>
      </c>
      <c r="N77" s="4" t="s">
        <v>33</v>
      </c>
      <c r="O77" s="9" t="s">
        <v>34</v>
      </c>
      <c r="P77" s="2">
        <v>36.2</v>
      </c>
      <c r="Q77" s="2">
        <v>0</v>
      </c>
      <c r="R77" s="6" t="s">
        <v>34</v>
      </c>
      <c r="S77" s="2"/>
      <c r="T77" s="2">
        <v>1855.18</v>
      </c>
      <c r="U77" s="2">
        <v>0</v>
      </c>
      <c r="V77" s="2"/>
      <c r="W77" s="2"/>
      <c r="X77" s="2"/>
      <c r="Y77" s="2">
        <v>371.04</v>
      </c>
      <c r="Z77" s="2"/>
      <c r="AA77" s="10">
        <v>2226.22</v>
      </c>
    </row>
    <row r="78" ht="15">
      <c r="A78">
        <v>3</v>
      </c>
      <c r="B78" s="6"/>
      <c r="C78" s="2">
        <v>9</v>
      </c>
      <c r="D78" s="2"/>
      <c r="E78" s="2" t="s">
        <v>174</v>
      </c>
      <c r="F78" s="2" t="s">
        <v>175</v>
      </c>
      <c r="G78" s="6" t="s">
        <v>30</v>
      </c>
      <c r="H78" s="2" t="s">
        <v>31</v>
      </c>
      <c r="I78" s="2" t="s">
        <v>32</v>
      </c>
      <c r="J78" s="2">
        <v>5.378</v>
      </c>
      <c r="K78" s="2">
        <v>5.07</v>
      </c>
      <c r="L78" s="2">
        <v>63.8</v>
      </c>
      <c r="M78" s="2">
        <v>2</v>
      </c>
      <c r="N78" s="4" t="s">
        <v>33</v>
      </c>
      <c r="O78" s="9" t="s">
        <v>34</v>
      </c>
      <c r="P78" s="2">
        <v>127.6</v>
      </c>
      <c r="Q78" s="2">
        <v>0</v>
      </c>
      <c r="R78" s="6" t="s">
        <v>34</v>
      </c>
      <c r="S78" s="2"/>
      <c r="T78" s="2">
        <v>6548.45</v>
      </c>
      <c r="U78" s="2">
        <v>0</v>
      </c>
      <c r="V78" s="2"/>
      <c r="W78" s="2"/>
      <c r="X78" s="2"/>
      <c r="Y78" s="2">
        <v>1309.69</v>
      </c>
      <c r="Z78" s="2"/>
      <c r="AA78" s="10">
        <v>7858.14</v>
      </c>
    </row>
    <row r="79" ht="15">
      <c r="A79">
        <v>4</v>
      </c>
      <c r="B79" s="6"/>
      <c r="C79" s="2">
        <v>9</v>
      </c>
      <c r="D79" s="2"/>
      <c r="E79" s="2" t="s">
        <v>176</v>
      </c>
      <c r="F79" s="2" t="s">
        <v>177</v>
      </c>
      <c r="G79" s="6" t="s">
        <v>30</v>
      </c>
      <c r="H79" s="2" t="s">
        <v>31</v>
      </c>
      <c r="I79" s="2" t="s">
        <v>32</v>
      </c>
      <c r="J79" s="2">
        <v>4.796</v>
      </c>
      <c r="K79" s="2">
        <v>4.52</v>
      </c>
      <c r="L79" s="2">
        <v>51</v>
      </c>
      <c r="M79" s="2">
        <v>4</v>
      </c>
      <c r="N79" s="4" t="s">
        <v>33</v>
      </c>
      <c r="O79" s="9" t="s">
        <v>34</v>
      </c>
      <c r="P79" s="2">
        <v>204</v>
      </c>
      <c r="Q79" s="2">
        <v>0</v>
      </c>
      <c r="R79" s="6" t="s">
        <v>34</v>
      </c>
      <c r="S79" s="2"/>
      <c r="T79" s="2">
        <v>10445.8</v>
      </c>
      <c r="U79" s="2">
        <v>0</v>
      </c>
      <c r="V79" s="2"/>
      <c r="W79" s="2"/>
      <c r="X79" s="2"/>
      <c r="Y79" s="2">
        <v>2089.16</v>
      </c>
      <c r="Z79" s="2"/>
      <c r="AA79" s="10">
        <v>12534.96</v>
      </c>
    </row>
    <row r="80" ht="15">
      <c r="A80" s="11"/>
      <c r="B80" s="11"/>
      <c r="C80" s="11"/>
      <c r="D80" s="11"/>
      <c r="E80" s="11"/>
      <c r="F80" s="11" t="s">
        <v>178</v>
      </c>
      <c r="G80" s="11"/>
      <c r="H80" s="11"/>
      <c r="I80" s="11"/>
      <c r="J80" s="11">
        <f>SUM(J76:J79)</f>
        <v>0</v>
      </c>
      <c r="K80" s="11">
        <f>SUM(K76:K79)</f>
        <v>0</v>
      </c>
      <c r="L80" s="11"/>
      <c r="M80" s="11">
        <f>SUM(M76:M79)</f>
        <v>0</v>
      </c>
      <c r="N80" s="12"/>
      <c r="O80" s="14"/>
      <c r="P80" s="11">
        <f>SUM(P76:P79)</f>
        <v>0</v>
      </c>
      <c r="Q80" s="11">
        <f>SUM(Q76:Q79)</f>
        <v>0</v>
      </c>
      <c r="R80" s="11"/>
      <c r="S80" s="11">
        <f>SUM(S76:S79)</f>
        <v>0</v>
      </c>
      <c r="T80" s="11"/>
      <c r="U80" s="11"/>
      <c r="V80" s="11"/>
      <c r="W80" s="11"/>
      <c r="X80" s="11"/>
      <c r="Y80" s="11"/>
      <c r="Z80" s="11"/>
      <c r="AA80" s="11"/>
    </row>
    <row r="81" ht="15">
      <c r="A81">
        <v>1</v>
      </c>
      <c r="B81" s="6" t="s">
        <v>179</v>
      </c>
      <c r="C81" s="2">
        <v>10</v>
      </c>
      <c r="D81" s="2"/>
      <c r="E81" s="2" t="s">
        <v>180</v>
      </c>
      <c r="F81" s="2" t="s">
        <v>181</v>
      </c>
      <c r="G81" s="6" t="s">
        <v>30</v>
      </c>
      <c r="H81" s="2" t="s">
        <v>31</v>
      </c>
      <c r="I81" s="2" t="s">
        <v>32</v>
      </c>
      <c r="J81" s="2">
        <v>12.06</v>
      </c>
      <c r="K81" s="2">
        <v>11.37</v>
      </c>
      <c r="L81" s="2">
        <v>49</v>
      </c>
      <c r="M81" s="2">
        <v>3</v>
      </c>
      <c r="N81" s="4" t="s">
        <v>33</v>
      </c>
      <c r="O81" s="9" t="s">
        <v>34</v>
      </c>
      <c r="P81" s="2">
        <v>147</v>
      </c>
      <c r="Q81" s="2">
        <v>0</v>
      </c>
      <c r="R81" s="6" t="s">
        <v>34</v>
      </c>
      <c r="S81" s="2"/>
      <c r="T81" s="2">
        <v>7580.33</v>
      </c>
      <c r="U81" s="2">
        <v>0</v>
      </c>
      <c r="V81" s="2"/>
      <c r="W81" s="2"/>
      <c r="X81" s="2"/>
      <c r="Y81" s="2">
        <v>1516.07</v>
      </c>
      <c r="Z81" s="2"/>
      <c r="AA81" s="10">
        <v>9096.4</v>
      </c>
    </row>
    <row r="82" ht="15">
      <c r="A82">
        <v>2</v>
      </c>
      <c r="B82" s="6"/>
      <c r="C82" s="2">
        <v>10</v>
      </c>
      <c r="D82" s="2"/>
      <c r="E82" s="2" t="s">
        <v>182</v>
      </c>
      <c r="F82" s="2" t="s">
        <v>183</v>
      </c>
      <c r="G82" s="6" t="s">
        <v>30</v>
      </c>
      <c r="H82" s="2" t="s">
        <v>31</v>
      </c>
      <c r="I82" s="2" t="s">
        <v>32</v>
      </c>
      <c r="J82" s="2">
        <v>11.902</v>
      </c>
      <c r="K82" s="2">
        <v>11.22</v>
      </c>
      <c r="L82" s="2">
        <v>68.4</v>
      </c>
      <c r="M82" s="2">
        <v>2</v>
      </c>
      <c r="N82" s="4" t="s">
        <v>33</v>
      </c>
      <c r="O82" s="9" t="s">
        <v>34</v>
      </c>
      <c r="P82" s="2">
        <v>136.8</v>
      </c>
      <c r="Q82" s="2">
        <v>0</v>
      </c>
      <c r="R82" s="6" t="s">
        <v>34</v>
      </c>
      <c r="S82" s="2"/>
      <c r="T82" s="2">
        <v>7058.55</v>
      </c>
      <c r="U82" s="2">
        <v>0</v>
      </c>
      <c r="V82" s="2"/>
      <c r="W82" s="2"/>
      <c r="X82" s="2"/>
      <c r="Y82" s="2">
        <v>1411.71</v>
      </c>
      <c r="Z82" s="2"/>
      <c r="AA82" s="10">
        <v>8470.26</v>
      </c>
    </row>
    <row r="83" ht="15">
      <c r="A83">
        <v>3</v>
      </c>
      <c r="B83" s="6"/>
      <c r="C83" s="2">
        <v>10</v>
      </c>
      <c r="D83" s="2"/>
      <c r="E83" s="2" t="s">
        <v>184</v>
      </c>
      <c r="F83" s="2" t="s">
        <v>185</v>
      </c>
      <c r="G83" s="6" t="s">
        <v>30</v>
      </c>
      <c r="H83" s="2" t="s">
        <v>31</v>
      </c>
      <c r="I83" s="2" t="s">
        <v>32</v>
      </c>
      <c r="J83" s="2">
        <v>35.56</v>
      </c>
      <c r="K83" s="2">
        <v>33.52</v>
      </c>
      <c r="L83" s="2">
        <v>71.7</v>
      </c>
      <c r="M83" s="2">
        <v>8</v>
      </c>
      <c r="N83" s="4" t="s">
        <v>33</v>
      </c>
      <c r="O83" s="9" t="s">
        <v>34</v>
      </c>
      <c r="P83" s="2">
        <v>573.6</v>
      </c>
      <c r="Q83" s="2">
        <v>0</v>
      </c>
      <c r="R83" s="6" t="s">
        <v>34</v>
      </c>
      <c r="S83" s="2"/>
      <c r="T83" s="13">
        <f>SUM(29507.65,-0.01)</f>
        <v>0</v>
      </c>
      <c r="U83" s="2">
        <v>0</v>
      </c>
      <c r="V83" s="2"/>
      <c r="W83" s="2"/>
      <c r="X83" s="2"/>
      <c r="Y83" s="13">
        <f>SUM(5901.53,-0.01)</f>
        <v>0</v>
      </c>
      <c r="Z83" s="2"/>
      <c r="AA83" s="10">
        <v>35409.18</v>
      </c>
    </row>
    <row r="84" ht="15">
      <c r="A84" s="11"/>
      <c r="B84" s="11"/>
      <c r="C84" s="11"/>
      <c r="D84" s="11"/>
      <c r="E84" s="11"/>
      <c r="F84" s="11" t="s">
        <v>186</v>
      </c>
      <c r="G84" s="11"/>
      <c r="H84" s="11"/>
      <c r="I84" s="11"/>
      <c r="J84" s="11">
        <f>SUM(J81:J83)</f>
        <v>0</v>
      </c>
      <c r="K84" s="11">
        <f>SUM(K81:K83)</f>
        <v>0</v>
      </c>
      <c r="L84" s="11"/>
      <c r="M84" s="11">
        <f>SUM(M81:M83)</f>
        <v>0</v>
      </c>
      <c r="N84" s="12"/>
      <c r="O84" s="14"/>
      <c r="P84" s="11">
        <f>SUM(P81:P83)</f>
        <v>0</v>
      </c>
      <c r="Q84" s="11">
        <f>SUM(Q81:Q83)</f>
        <v>0</v>
      </c>
      <c r="R84" s="11"/>
      <c r="S84" s="11">
        <f>SUM(S81:S83)</f>
        <v>0</v>
      </c>
      <c r="T84" s="11"/>
      <c r="U84" s="11"/>
      <c r="V84" s="11"/>
      <c r="W84" s="11"/>
      <c r="X84" s="11"/>
      <c r="Y84" s="11"/>
      <c r="Z84" s="11"/>
      <c r="AA84" s="11"/>
    </row>
    <row r="85" ht="15">
      <c r="A85">
        <v>1</v>
      </c>
      <c r="B85" s="6" t="s">
        <v>187</v>
      </c>
      <c r="C85" s="2">
        <v>11</v>
      </c>
      <c r="D85" s="2"/>
      <c r="E85" s="2" t="s">
        <v>188</v>
      </c>
      <c r="F85" s="2" t="s">
        <v>189</v>
      </c>
      <c r="G85" s="6" t="s">
        <v>30</v>
      </c>
      <c r="H85" s="2" t="s">
        <v>31</v>
      </c>
      <c r="I85" s="2" t="s">
        <v>32</v>
      </c>
      <c r="J85" s="2">
        <v>1.717</v>
      </c>
      <c r="K85" s="2">
        <v>1.615</v>
      </c>
      <c r="L85" s="2">
        <v>7.8</v>
      </c>
      <c r="M85" s="2">
        <v>17</v>
      </c>
      <c r="N85" s="4" t="s">
        <v>33</v>
      </c>
      <c r="O85" s="9" t="s">
        <v>34</v>
      </c>
      <c r="P85" s="2">
        <v>132.6</v>
      </c>
      <c r="Q85" s="2">
        <v>0</v>
      </c>
      <c r="R85" s="6" t="s">
        <v>34</v>
      </c>
      <c r="S85" s="2"/>
      <c r="T85" s="2">
        <v>6781.11</v>
      </c>
      <c r="U85" s="2">
        <v>0</v>
      </c>
      <c r="V85" s="2"/>
      <c r="W85" s="2"/>
      <c r="X85" s="2"/>
      <c r="Y85" s="2">
        <v>1356.22</v>
      </c>
      <c r="Z85" s="2"/>
      <c r="AA85" s="10">
        <v>8137.33</v>
      </c>
    </row>
    <row r="86" ht="15">
      <c r="A86">
        <v>2</v>
      </c>
      <c r="B86" s="6"/>
      <c r="C86" s="2">
        <v>11</v>
      </c>
      <c r="D86" s="2"/>
      <c r="E86" s="2" t="s">
        <v>190</v>
      </c>
      <c r="F86" s="2" t="s">
        <v>191</v>
      </c>
      <c r="G86" s="6" t="s">
        <v>30</v>
      </c>
      <c r="H86" s="2" t="s">
        <v>31</v>
      </c>
      <c r="I86" s="2" t="s">
        <v>32</v>
      </c>
      <c r="J86" s="2">
        <v>0.64</v>
      </c>
      <c r="K86" s="2">
        <v>0.6</v>
      </c>
      <c r="L86" s="2">
        <v>3.2</v>
      </c>
      <c r="M86" s="2">
        <v>10</v>
      </c>
      <c r="N86" s="4" t="s">
        <v>33</v>
      </c>
      <c r="O86" s="9" t="s">
        <v>34</v>
      </c>
      <c r="P86" s="2">
        <v>32</v>
      </c>
      <c r="Q86" s="2">
        <v>0</v>
      </c>
      <c r="R86" s="6" t="s">
        <v>34</v>
      </c>
      <c r="S86" s="2"/>
      <c r="T86" s="2">
        <v>1637.86</v>
      </c>
      <c r="U86" s="2">
        <v>0</v>
      </c>
      <c r="V86" s="2"/>
      <c r="W86" s="2"/>
      <c r="X86" s="2"/>
      <c r="Y86" s="2">
        <v>327.57</v>
      </c>
      <c r="Z86" s="2"/>
      <c r="AA86" s="10">
        <v>1965.43</v>
      </c>
    </row>
    <row r="87" ht="15">
      <c r="A87">
        <v>3</v>
      </c>
      <c r="B87" s="6"/>
      <c r="C87" s="2">
        <v>11</v>
      </c>
      <c r="D87" s="2"/>
      <c r="E87" s="2" t="s">
        <v>192</v>
      </c>
      <c r="F87" s="2" t="s">
        <v>193</v>
      </c>
      <c r="G87" s="6" t="s">
        <v>30</v>
      </c>
      <c r="H87" s="2" t="s">
        <v>31</v>
      </c>
      <c r="I87" s="2" t="s">
        <v>32</v>
      </c>
      <c r="J87" s="2">
        <v>8.58</v>
      </c>
      <c r="K87" s="2">
        <v>8.1</v>
      </c>
      <c r="L87" s="2">
        <v>8.5</v>
      </c>
      <c r="M87" s="2">
        <v>60</v>
      </c>
      <c r="N87" s="4" t="s">
        <v>33</v>
      </c>
      <c r="O87" s="9" t="s">
        <v>34</v>
      </c>
      <c r="P87" s="2">
        <v>510</v>
      </c>
      <c r="Q87" s="2">
        <v>0</v>
      </c>
      <c r="R87" s="6" t="s">
        <v>34</v>
      </c>
      <c r="S87" s="2"/>
      <c r="T87" s="13">
        <f>SUM(26093.41,-0.01)</f>
        <v>0</v>
      </c>
      <c r="U87" s="2">
        <v>0</v>
      </c>
      <c r="V87" s="2"/>
      <c r="W87" s="2"/>
      <c r="X87" s="2"/>
      <c r="Y87" s="13">
        <f>SUM(5218.68,0.01)</f>
        <v>0</v>
      </c>
      <c r="Z87" s="2"/>
      <c r="AA87" s="10">
        <v>31312.09</v>
      </c>
    </row>
    <row r="88" ht="15">
      <c r="A88">
        <v>4</v>
      </c>
      <c r="B88" s="6"/>
      <c r="C88" s="2">
        <v>11</v>
      </c>
      <c r="D88" s="2"/>
      <c r="E88" s="2" t="s">
        <v>194</v>
      </c>
      <c r="F88" s="2" t="s">
        <v>195</v>
      </c>
      <c r="G88" s="6" t="s">
        <v>30</v>
      </c>
      <c r="H88" s="2" t="s">
        <v>31</v>
      </c>
      <c r="I88" s="2" t="s">
        <v>32</v>
      </c>
      <c r="J88" s="2">
        <v>5.95</v>
      </c>
      <c r="K88" s="2">
        <v>5.6</v>
      </c>
      <c r="L88" s="2">
        <v>14.2</v>
      </c>
      <c r="M88" s="2">
        <v>35</v>
      </c>
      <c r="N88" s="4" t="s">
        <v>33</v>
      </c>
      <c r="O88" s="9" t="s">
        <v>34</v>
      </c>
      <c r="P88" s="2">
        <v>497</v>
      </c>
      <c r="Q88" s="2">
        <v>0</v>
      </c>
      <c r="R88" s="6" t="s">
        <v>34</v>
      </c>
      <c r="S88" s="2"/>
      <c r="T88" s="2">
        <v>25413.37</v>
      </c>
      <c r="U88" s="2">
        <v>0</v>
      </c>
      <c r="V88" s="2"/>
      <c r="W88" s="2"/>
      <c r="X88" s="2"/>
      <c r="Y88" s="2">
        <v>5082.67</v>
      </c>
      <c r="Z88" s="2"/>
      <c r="AA88" s="10">
        <v>30496.04</v>
      </c>
    </row>
    <row r="89" ht="15">
      <c r="A89">
        <v>5</v>
      </c>
      <c r="B89" s="6"/>
      <c r="C89" s="2">
        <v>11</v>
      </c>
      <c r="D89" s="2"/>
      <c r="E89" s="2" t="s">
        <v>196</v>
      </c>
      <c r="F89" s="2" t="s">
        <v>197</v>
      </c>
      <c r="G89" s="6" t="s">
        <v>30</v>
      </c>
      <c r="H89" s="2" t="s">
        <v>31</v>
      </c>
      <c r="I89" s="2" t="s">
        <v>32</v>
      </c>
      <c r="J89" s="2">
        <v>0.127</v>
      </c>
      <c r="K89" s="2">
        <v>0.12</v>
      </c>
      <c r="L89" s="2">
        <v>9.3</v>
      </c>
      <c r="M89" s="2">
        <v>1</v>
      </c>
      <c r="N89" s="4" t="s">
        <v>33</v>
      </c>
      <c r="O89" s="9" t="s">
        <v>34</v>
      </c>
      <c r="P89" s="2">
        <v>9.3</v>
      </c>
      <c r="Q89" s="2">
        <v>0</v>
      </c>
      <c r="R89" s="6" t="s">
        <v>34</v>
      </c>
      <c r="S89" s="2"/>
      <c r="T89" s="2">
        <v>475.64</v>
      </c>
      <c r="U89" s="2">
        <v>0</v>
      </c>
      <c r="V89" s="2"/>
      <c r="W89" s="2"/>
      <c r="X89" s="2"/>
      <c r="Y89" s="2">
        <v>95.13</v>
      </c>
      <c r="Z89" s="2"/>
      <c r="AA89" s="10">
        <v>570.77</v>
      </c>
    </row>
    <row r="90" ht="15">
      <c r="A90">
        <v>6</v>
      </c>
      <c r="B90" s="6"/>
      <c r="C90" s="2">
        <v>11</v>
      </c>
      <c r="D90" s="2"/>
      <c r="E90" s="2" t="s">
        <v>198</v>
      </c>
      <c r="F90" s="2" t="s">
        <v>199</v>
      </c>
      <c r="G90" s="6" t="s">
        <v>30</v>
      </c>
      <c r="H90" s="2" t="s">
        <v>31</v>
      </c>
      <c r="I90" s="2" t="s">
        <v>32</v>
      </c>
      <c r="J90" s="2">
        <v>2.865</v>
      </c>
      <c r="K90" s="2">
        <v>2.7</v>
      </c>
      <c r="L90" s="2">
        <v>11</v>
      </c>
      <c r="M90" s="2">
        <v>15</v>
      </c>
      <c r="N90" s="4" t="s">
        <v>33</v>
      </c>
      <c r="O90" s="9" t="s">
        <v>34</v>
      </c>
      <c r="P90" s="2">
        <v>165</v>
      </c>
      <c r="Q90" s="2">
        <v>0</v>
      </c>
      <c r="R90" s="6" t="s">
        <v>34</v>
      </c>
      <c r="S90" s="2"/>
      <c r="T90" s="2">
        <v>8442.54</v>
      </c>
      <c r="U90" s="2">
        <v>0</v>
      </c>
      <c r="V90" s="2"/>
      <c r="W90" s="2"/>
      <c r="X90" s="2"/>
      <c r="Y90" s="2">
        <v>1688.51</v>
      </c>
      <c r="Z90" s="2"/>
      <c r="AA90" s="10">
        <v>10131.05</v>
      </c>
    </row>
    <row r="91" ht="15">
      <c r="A91">
        <v>7</v>
      </c>
      <c r="B91" s="6"/>
      <c r="C91" s="2">
        <v>11</v>
      </c>
      <c r="D91" s="2"/>
      <c r="E91" s="2" t="s">
        <v>200</v>
      </c>
      <c r="F91" s="2" t="s">
        <v>201</v>
      </c>
      <c r="G91" s="6" t="s">
        <v>30</v>
      </c>
      <c r="H91" s="2" t="s">
        <v>31</v>
      </c>
      <c r="I91" s="2" t="s">
        <v>32</v>
      </c>
      <c r="J91" s="2">
        <v>4.77</v>
      </c>
      <c r="K91" s="2">
        <v>4.5</v>
      </c>
      <c r="L91" s="2">
        <v>11</v>
      </c>
      <c r="M91" s="2">
        <v>30</v>
      </c>
      <c r="N91" s="4" t="s">
        <v>33</v>
      </c>
      <c r="O91" s="9" t="s">
        <v>34</v>
      </c>
      <c r="P91" s="2">
        <v>330</v>
      </c>
      <c r="Q91" s="2">
        <v>0</v>
      </c>
      <c r="R91" s="6" t="s">
        <v>34</v>
      </c>
      <c r="S91" s="2"/>
      <c r="T91" s="2">
        <v>16879.13</v>
      </c>
      <c r="U91" s="2">
        <v>0</v>
      </c>
      <c r="V91" s="2"/>
      <c r="W91" s="2"/>
      <c r="X91" s="2"/>
      <c r="Y91" s="2">
        <v>3375.83</v>
      </c>
      <c r="Z91" s="2"/>
      <c r="AA91" s="10">
        <v>20254.96</v>
      </c>
    </row>
    <row r="92" ht="15">
      <c r="A92">
        <v>8</v>
      </c>
      <c r="B92" s="6"/>
      <c r="C92" s="2">
        <v>11</v>
      </c>
      <c r="D92" s="2"/>
      <c r="E92" s="2" t="s">
        <v>202</v>
      </c>
      <c r="F92" s="2" t="s">
        <v>199</v>
      </c>
      <c r="G92" s="6" t="s">
        <v>30</v>
      </c>
      <c r="H92" s="2" t="s">
        <v>31</v>
      </c>
      <c r="I92" s="2" t="s">
        <v>32</v>
      </c>
      <c r="J92" s="2">
        <v>2.07</v>
      </c>
      <c r="K92" s="2">
        <v>1.95</v>
      </c>
      <c r="L92" s="2">
        <v>17.3</v>
      </c>
      <c r="M92" s="2">
        <v>15</v>
      </c>
      <c r="N92" s="4" t="s">
        <v>33</v>
      </c>
      <c r="O92" s="9" t="s">
        <v>34</v>
      </c>
      <c r="P92" s="2">
        <v>259.5</v>
      </c>
      <c r="Q92" s="2">
        <v>0</v>
      </c>
      <c r="R92" s="6" t="s">
        <v>34</v>
      </c>
      <c r="S92" s="2"/>
      <c r="T92" s="2">
        <v>13262.74</v>
      </c>
      <c r="U92" s="2">
        <v>0</v>
      </c>
      <c r="V92" s="2"/>
      <c r="W92" s="2"/>
      <c r="X92" s="2"/>
      <c r="Y92" s="2">
        <v>2652.55</v>
      </c>
      <c r="Z92" s="2"/>
      <c r="AA92" s="10">
        <v>15915.29</v>
      </c>
    </row>
    <row r="93" ht="15">
      <c r="A93">
        <v>9</v>
      </c>
      <c r="B93" s="6"/>
      <c r="C93" s="2">
        <v>11</v>
      </c>
      <c r="D93" s="2"/>
      <c r="E93" s="2" t="s">
        <v>203</v>
      </c>
      <c r="F93" s="2" t="s">
        <v>204</v>
      </c>
      <c r="G93" s="6" t="s">
        <v>30</v>
      </c>
      <c r="H93" s="2" t="s">
        <v>31</v>
      </c>
      <c r="I93" s="2" t="s">
        <v>32</v>
      </c>
      <c r="J93" s="2">
        <v>2.02</v>
      </c>
      <c r="K93" s="2">
        <v>1.9</v>
      </c>
      <c r="L93" s="2">
        <v>9.6</v>
      </c>
      <c r="M93" s="2">
        <v>10</v>
      </c>
      <c r="N93" s="4" t="s">
        <v>33</v>
      </c>
      <c r="O93" s="9" t="s">
        <v>34</v>
      </c>
      <c r="P93" s="2">
        <v>96</v>
      </c>
      <c r="Q93" s="2">
        <v>0</v>
      </c>
      <c r="R93" s="6" t="s">
        <v>34</v>
      </c>
      <c r="S93" s="2"/>
      <c r="T93" s="2">
        <v>4914.2</v>
      </c>
      <c r="U93" s="2">
        <v>0</v>
      </c>
      <c r="V93" s="2"/>
      <c r="W93" s="2"/>
      <c r="X93" s="2"/>
      <c r="Y93" s="2">
        <v>982.84</v>
      </c>
      <c r="Z93" s="2"/>
      <c r="AA93" s="10">
        <v>5897.04</v>
      </c>
    </row>
    <row r="94" ht="15">
      <c r="A94">
        <v>10</v>
      </c>
      <c r="B94" s="6"/>
      <c r="C94" s="2">
        <v>11</v>
      </c>
      <c r="D94" s="2"/>
      <c r="E94" s="2" t="s">
        <v>205</v>
      </c>
      <c r="F94" s="2" t="s">
        <v>204</v>
      </c>
      <c r="G94" s="6" t="s">
        <v>30</v>
      </c>
      <c r="H94" s="2" t="s">
        <v>31</v>
      </c>
      <c r="I94" s="2" t="s">
        <v>32</v>
      </c>
      <c r="J94" s="2">
        <v>2.97</v>
      </c>
      <c r="K94" s="2">
        <v>2.8</v>
      </c>
      <c r="L94" s="2">
        <v>16.3</v>
      </c>
      <c r="M94" s="2">
        <v>10</v>
      </c>
      <c r="N94" s="4" t="s">
        <v>33</v>
      </c>
      <c r="O94" s="9" t="s">
        <v>34</v>
      </c>
      <c r="P94" s="2">
        <v>163</v>
      </c>
      <c r="Q94" s="2">
        <v>0</v>
      </c>
      <c r="R94" s="6" t="s">
        <v>34</v>
      </c>
      <c r="S94" s="2"/>
      <c r="T94" s="2">
        <v>8341.07</v>
      </c>
      <c r="U94" s="2">
        <v>0</v>
      </c>
      <c r="V94" s="2"/>
      <c r="W94" s="2"/>
      <c r="X94" s="2"/>
      <c r="Y94" s="2">
        <v>1668.21</v>
      </c>
      <c r="Z94" s="2"/>
      <c r="AA94" s="10">
        <v>10009.28</v>
      </c>
    </row>
    <row r="95" ht="15">
      <c r="A95">
        <v>11</v>
      </c>
      <c r="B95" s="6"/>
      <c r="C95" s="2">
        <v>11</v>
      </c>
      <c r="D95" s="2"/>
      <c r="E95" s="2" t="s">
        <v>206</v>
      </c>
      <c r="F95" s="2" t="s">
        <v>207</v>
      </c>
      <c r="G95" s="6" t="s">
        <v>30</v>
      </c>
      <c r="H95" s="2" t="s">
        <v>31</v>
      </c>
      <c r="I95" s="2" t="s">
        <v>32</v>
      </c>
      <c r="J95" s="2">
        <v>3.18</v>
      </c>
      <c r="K95" s="2">
        <v>3</v>
      </c>
      <c r="L95" s="2">
        <v>12.6</v>
      </c>
      <c r="M95" s="2">
        <v>20</v>
      </c>
      <c r="N95" s="4" t="s">
        <v>33</v>
      </c>
      <c r="O95" s="9" t="s">
        <v>34</v>
      </c>
      <c r="P95" s="2">
        <v>252</v>
      </c>
      <c r="Q95" s="2">
        <v>0</v>
      </c>
      <c r="R95" s="6" t="s">
        <v>34</v>
      </c>
      <c r="S95" s="2"/>
      <c r="T95" s="2">
        <v>12886.66</v>
      </c>
      <c r="U95" s="2">
        <v>0</v>
      </c>
      <c r="V95" s="2"/>
      <c r="W95" s="2"/>
      <c r="X95" s="2"/>
      <c r="Y95" s="2">
        <v>2577.33</v>
      </c>
      <c r="Z95" s="2"/>
      <c r="AA95" s="10">
        <v>15463.99</v>
      </c>
    </row>
    <row r="96" ht="15">
      <c r="A96">
        <v>12</v>
      </c>
      <c r="B96" s="6"/>
      <c r="C96" s="2">
        <v>11</v>
      </c>
      <c r="D96" s="2"/>
      <c r="E96" s="2" t="s">
        <v>208</v>
      </c>
      <c r="F96" s="2" t="s">
        <v>204</v>
      </c>
      <c r="G96" s="6" t="s">
        <v>30</v>
      </c>
      <c r="H96" s="2" t="s">
        <v>31</v>
      </c>
      <c r="I96" s="2" t="s">
        <v>32</v>
      </c>
      <c r="J96" s="2">
        <v>2.02</v>
      </c>
      <c r="K96" s="2">
        <v>1.9</v>
      </c>
      <c r="L96" s="2">
        <v>21.2</v>
      </c>
      <c r="M96" s="2">
        <v>10</v>
      </c>
      <c r="N96" s="4" t="s">
        <v>33</v>
      </c>
      <c r="O96" s="9" t="s">
        <v>34</v>
      </c>
      <c r="P96" s="2">
        <v>212</v>
      </c>
      <c r="Q96" s="2">
        <v>0</v>
      </c>
      <c r="R96" s="6" t="s">
        <v>34</v>
      </c>
      <c r="S96" s="2"/>
      <c r="T96" s="2">
        <v>10837.11</v>
      </c>
      <c r="U96" s="2">
        <v>0</v>
      </c>
      <c r="V96" s="2"/>
      <c r="W96" s="2"/>
      <c r="X96" s="2"/>
      <c r="Y96" s="2">
        <v>2167.42</v>
      </c>
      <c r="Z96" s="2"/>
      <c r="AA96" s="10">
        <v>13004.53</v>
      </c>
    </row>
    <row r="97" ht="15">
      <c r="A97" s="11"/>
      <c r="B97" s="11"/>
      <c r="C97" s="11"/>
      <c r="D97" s="11"/>
      <c r="E97" s="11"/>
      <c r="F97" s="11" t="s">
        <v>209</v>
      </c>
      <c r="G97" s="11"/>
      <c r="H97" s="11"/>
      <c r="I97" s="11"/>
      <c r="J97" s="11">
        <f>SUM(J85:J96)</f>
        <v>0</v>
      </c>
      <c r="K97" s="11">
        <f>SUM(K85:K96)</f>
        <v>0</v>
      </c>
      <c r="L97" s="11"/>
      <c r="M97" s="11">
        <f>SUM(M85:M96)</f>
        <v>0</v>
      </c>
      <c r="N97" s="12"/>
      <c r="O97" s="14"/>
      <c r="P97" s="11">
        <f>SUM(P85:P96)</f>
        <v>0</v>
      </c>
      <c r="Q97" s="11">
        <f>SUM(Q85:Q96)</f>
        <v>0</v>
      </c>
      <c r="R97" s="11"/>
      <c r="S97" s="11">
        <f>SUM(S85:S96)</f>
        <v>0</v>
      </c>
      <c r="T97" s="11"/>
      <c r="U97" s="11"/>
      <c r="V97" s="11"/>
      <c r="W97" s="11"/>
      <c r="X97" s="11"/>
      <c r="Y97" s="11"/>
      <c r="Z97" s="11"/>
      <c r="AA97" s="11"/>
    </row>
    <row r="98" ht="15">
      <c r="A98">
        <v>1</v>
      </c>
      <c r="B98" s="6" t="s">
        <v>210</v>
      </c>
      <c r="C98" s="2">
        <v>12</v>
      </c>
      <c r="D98" s="2"/>
      <c r="E98" s="2" t="s">
        <v>211</v>
      </c>
      <c r="F98" s="2" t="s">
        <v>212</v>
      </c>
      <c r="G98" s="6" t="s">
        <v>30</v>
      </c>
      <c r="H98" s="2" t="s">
        <v>31</v>
      </c>
      <c r="I98" s="2" t="s">
        <v>32</v>
      </c>
      <c r="J98" s="2">
        <v>3.51</v>
      </c>
      <c r="K98" s="2">
        <v>3.3</v>
      </c>
      <c r="L98" s="2">
        <v>18.4</v>
      </c>
      <c r="M98" s="2">
        <v>30</v>
      </c>
      <c r="N98" s="4" t="s">
        <v>33</v>
      </c>
      <c r="O98" s="9" t="s">
        <v>34</v>
      </c>
      <c r="P98" s="2">
        <v>552</v>
      </c>
      <c r="Q98" s="2">
        <v>0</v>
      </c>
      <c r="R98" s="6" t="s">
        <v>34</v>
      </c>
      <c r="S98" s="2"/>
      <c r="T98" s="2">
        <v>28206.55</v>
      </c>
      <c r="U98" s="2">
        <v>282.07</v>
      </c>
      <c r="V98" s="2"/>
      <c r="W98" s="2"/>
      <c r="X98" s="2"/>
      <c r="Y98" s="2">
        <v>5697.72</v>
      </c>
      <c r="Z98" s="2"/>
      <c r="AA98" s="10">
        <v>34186.34</v>
      </c>
    </row>
    <row r="99" ht="15">
      <c r="A99" s="11"/>
      <c r="B99" s="11"/>
      <c r="C99" s="11"/>
      <c r="D99" s="11"/>
      <c r="E99" s="11"/>
      <c r="F99" s="11" t="s">
        <v>213</v>
      </c>
      <c r="G99" s="11"/>
      <c r="H99" s="11"/>
      <c r="I99" s="11"/>
      <c r="J99" s="11">
        <f>SUM(J98:J98)</f>
        <v>0</v>
      </c>
      <c r="K99" s="11">
        <f>SUM(K98:K98)</f>
        <v>0</v>
      </c>
      <c r="L99" s="11"/>
      <c r="M99" s="11">
        <f>SUM(M98:M98)</f>
        <v>0</v>
      </c>
      <c r="N99" s="12"/>
      <c r="O99" s="14"/>
      <c r="P99" s="11">
        <f>SUM(P98:P98)</f>
        <v>0</v>
      </c>
      <c r="Q99" s="11">
        <f>SUM(Q98:Q98)</f>
        <v>0</v>
      </c>
      <c r="R99" s="11"/>
      <c r="S99" s="11">
        <f>SUM(S98:S98)</f>
        <v>0</v>
      </c>
      <c r="T99" s="11"/>
      <c r="U99" s="11"/>
      <c r="V99" s="11"/>
      <c r="W99" s="11"/>
      <c r="X99" s="11"/>
      <c r="Y99" s="11"/>
      <c r="Z99" s="11"/>
      <c r="AA99" s="11"/>
    </row>
    <row r="100" ht="15">
      <c r="A100">
        <v>1</v>
      </c>
      <c r="B100" s="6" t="s">
        <v>214</v>
      </c>
      <c r="C100" s="2">
        <v>13</v>
      </c>
      <c r="D100" s="2"/>
      <c r="E100" s="2" t="s">
        <v>215</v>
      </c>
      <c r="F100" s="2" t="s">
        <v>216</v>
      </c>
      <c r="G100" s="6" t="s">
        <v>30</v>
      </c>
      <c r="H100" s="2" t="s">
        <v>31</v>
      </c>
      <c r="I100" s="2" t="s">
        <v>32</v>
      </c>
      <c r="J100" s="2">
        <v>0.74</v>
      </c>
      <c r="K100" s="2">
        <v>0.7</v>
      </c>
      <c r="L100" s="2">
        <v>11.2</v>
      </c>
      <c r="M100" s="2">
        <v>10</v>
      </c>
      <c r="N100" s="4" t="s">
        <v>33</v>
      </c>
      <c r="O100" s="9" t="s">
        <v>34</v>
      </c>
      <c r="P100" s="2">
        <v>112</v>
      </c>
      <c r="Q100" s="2">
        <v>0</v>
      </c>
      <c r="R100" s="6" t="s">
        <v>34</v>
      </c>
      <c r="S100" s="2"/>
      <c r="T100" s="2">
        <v>5723.24</v>
      </c>
      <c r="U100" s="2">
        <v>572.32</v>
      </c>
      <c r="V100" s="2"/>
      <c r="W100" s="2"/>
      <c r="X100" s="2"/>
      <c r="Y100" s="2">
        <v>1259.11</v>
      </c>
      <c r="Z100" s="2"/>
      <c r="AA100" s="10">
        <v>7554.67</v>
      </c>
    </row>
    <row r="101" ht="15">
      <c r="A101" s="11"/>
      <c r="B101" s="11"/>
      <c r="C101" s="11"/>
      <c r="D101" s="11"/>
      <c r="E101" s="11"/>
      <c r="F101" s="11" t="s">
        <v>217</v>
      </c>
      <c r="G101" s="11"/>
      <c r="H101" s="11"/>
      <c r="I101" s="11"/>
      <c r="J101" s="11">
        <f>SUM(J100:J100)</f>
        <v>0</v>
      </c>
      <c r="K101" s="11">
        <f>SUM(K100:K100)</f>
        <v>0</v>
      </c>
      <c r="L101" s="11"/>
      <c r="M101" s="11">
        <f>SUM(M100:M100)</f>
        <v>0</v>
      </c>
      <c r="N101" s="12"/>
      <c r="O101" s="14"/>
      <c r="P101" s="11">
        <f>SUM(P100:P100)</f>
        <v>0</v>
      </c>
      <c r="Q101" s="11">
        <f>SUM(Q100:Q100)</f>
        <v>0</v>
      </c>
      <c r="R101" s="11"/>
      <c r="S101" s="11">
        <f>SUM(S100:S100)</f>
        <v>0</v>
      </c>
      <c r="T101" s="11"/>
      <c r="U101" s="11"/>
      <c r="V101" s="11"/>
      <c r="W101" s="11"/>
      <c r="X101" s="11"/>
      <c r="Y101" s="11"/>
      <c r="Z101" s="11"/>
      <c r="AA101" s="11"/>
    </row>
    <row r="102" ht="15">
      <c r="A102">
        <v>1</v>
      </c>
      <c r="B102" s="6" t="s">
        <v>218</v>
      </c>
      <c r="C102" s="2">
        <v>14</v>
      </c>
      <c r="D102" s="2"/>
      <c r="E102" s="2" t="s">
        <v>219</v>
      </c>
      <c r="F102" s="2" t="s">
        <v>220</v>
      </c>
      <c r="G102" s="6" t="s">
        <v>30</v>
      </c>
      <c r="H102" s="2" t="s">
        <v>31</v>
      </c>
      <c r="I102" s="2" t="s">
        <v>32</v>
      </c>
      <c r="J102" s="2">
        <v>1.431</v>
      </c>
      <c r="K102" s="2">
        <v>1.35</v>
      </c>
      <c r="L102" s="2">
        <v>107.8</v>
      </c>
      <c r="M102" s="2">
        <v>3</v>
      </c>
      <c r="N102" s="4" t="s">
        <v>33</v>
      </c>
      <c r="O102" s="9" t="s">
        <v>34</v>
      </c>
      <c r="P102" s="2">
        <v>323.4</v>
      </c>
      <c r="Q102" s="2">
        <v>0</v>
      </c>
      <c r="R102" s="6" t="s">
        <v>34</v>
      </c>
      <c r="S102" s="2"/>
      <c r="T102" s="2">
        <v>16521.49</v>
      </c>
      <c r="U102" s="2">
        <v>660.86</v>
      </c>
      <c r="V102" s="2"/>
      <c r="W102" s="2"/>
      <c r="X102" s="2"/>
      <c r="Y102" s="2">
        <v>3436.47</v>
      </c>
      <c r="Z102" s="2"/>
      <c r="AA102" s="10">
        <v>20618.82</v>
      </c>
    </row>
    <row r="103" ht="15">
      <c r="A103" s="11"/>
      <c r="B103" s="11"/>
      <c r="C103" s="11"/>
      <c r="D103" s="11"/>
      <c r="E103" s="11"/>
      <c r="F103" s="11" t="s">
        <v>221</v>
      </c>
      <c r="G103" s="11"/>
      <c r="H103" s="11"/>
      <c r="I103" s="11"/>
      <c r="J103" s="11">
        <f>SUM(J102:J102)</f>
        <v>0</v>
      </c>
      <c r="K103" s="11">
        <f>SUM(K102:K102)</f>
        <v>0</v>
      </c>
      <c r="L103" s="11"/>
      <c r="M103" s="11">
        <f>SUM(M102:M102)</f>
        <v>0</v>
      </c>
      <c r="N103" s="12"/>
      <c r="O103" s="14"/>
      <c r="P103" s="11">
        <f>SUM(P102:P102)</f>
        <v>0</v>
      </c>
      <c r="Q103" s="11">
        <f>SUM(Q102:Q102)</f>
        <v>0</v>
      </c>
      <c r="R103" s="11"/>
      <c r="S103" s="11">
        <f>SUM(S102:S102)</f>
        <v>0</v>
      </c>
      <c r="T103" s="11"/>
      <c r="U103" s="11"/>
      <c r="V103" s="11"/>
      <c r="W103" s="11"/>
      <c r="X103" s="11"/>
      <c r="Y103" s="11"/>
      <c r="Z103" s="11"/>
      <c r="AA103" s="11"/>
    </row>
    <row r="104" ht="15">
      <c r="A104">
        <v>1</v>
      </c>
      <c r="B104" s="6" t="s">
        <v>222</v>
      </c>
      <c r="C104" s="2">
        <v>15</v>
      </c>
      <c r="D104" s="2"/>
      <c r="E104" s="2" t="s">
        <v>223</v>
      </c>
      <c r="F104" s="2" t="s">
        <v>224</v>
      </c>
      <c r="G104" s="6" t="s">
        <v>30</v>
      </c>
      <c r="H104" s="2" t="s">
        <v>31</v>
      </c>
      <c r="I104" s="2" t="s">
        <v>32</v>
      </c>
      <c r="J104" s="2">
        <v>1.91</v>
      </c>
      <c r="K104" s="2">
        <v>1.8</v>
      </c>
      <c r="L104" s="2">
        <v>7</v>
      </c>
      <c r="M104" s="2">
        <v>10</v>
      </c>
      <c r="N104" s="4" t="s">
        <v>33</v>
      </c>
      <c r="O104" s="9" t="s">
        <v>34</v>
      </c>
      <c r="P104" s="2">
        <v>70</v>
      </c>
      <c r="Q104" s="2">
        <v>0</v>
      </c>
      <c r="R104" s="6" t="s">
        <v>34</v>
      </c>
      <c r="S104" s="2"/>
      <c r="T104" s="2">
        <v>3585.98</v>
      </c>
      <c r="U104" s="2">
        <v>358.6</v>
      </c>
      <c r="V104" s="2"/>
      <c r="W104" s="2"/>
      <c r="X104" s="2"/>
      <c r="Y104" s="2">
        <v>788.92</v>
      </c>
      <c r="Z104" s="2"/>
      <c r="AA104" s="10">
        <v>4733.5</v>
      </c>
    </row>
    <row r="105" ht="15">
      <c r="A105">
        <v>2</v>
      </c>
      <c r="B105" s="6"/>
      <c r="C105" s="2">
        <v>15</v>
      </c>
      <c r="D105" s="2"/>
      <c r="E105" s="2" t="s">
        <v>225</v>
      </c>
      <c r="F105" s="2" t="s">
        <v>224</v>
      </c>
      <c r="G105" s="6" t="s">
        <v>30</v>
      </c>
      <c r="H105" s="2" t="s">
        <v>31</v>
      </c>
      <c r="I105" s="2" t="s">
        <v>32</v>
      </c>
      <c r="J105" s="2">
        <v>1.91</v>
      </c>
      <c r="K105" s="2">
        <v>1.8</v>
      </c>
      <c r="L105" s="2">
        <v>7.5</v>
      </c>
      <c r="M105" s="2">
        <v>10</v>
      </c>
      <c r="N105" s="4" t="s">
        <v>33</v>
      </c>
      <c r="O105" s="9" t="s">
        <v>34</v>
      </c>
      <c r="P105" s="2">
        <v>75</v>
      </c>
      <c r="Q105" s="2">
        <v>0</v>
      </c>
      <c r="R105" s="6" t="s">
        <v>34</v>
      </c>
      <c r="S105" s="2"/>
      <c r="T105" s="2">
        <v>3841.27</v>
      </c>
      <c r="U105" s="2">
        <v>384.13</v>
      </c>
      <c r="V105" s="2"/>
      <c r="W105" s="2"/>
      <c r="X105" s="2"/>
      <c r="Y105" s="2">
        <v>845.08</v>
      </c>
      <c r="Z105" s="2"/>
      <c r="AA105" s="10">
        <v>5070.48</v>
      </c>
    </row>
    <row r="106" ht="15">
      <c r="A106">
        <v>3</v>
      </c>
      <c r="B106" s="6"/>
      <c r="C106" s="2">
        <v>15</v>
      </c>
      <c r="D106" s="2"/>
      <c r="E106" s="2" t="s">
        <v>226</v>
      </c>
      <c r="F106" s="2" t="s">
        <v>224</v>
      </c>
      <c r="G106" s="6" t="s">
        <v>30</v>
      </c>
      <c r="H106" s="2" t="s">
        <v>31</v>
      </c>
      <c r="I106" s="2" t="s">
        <v>32</v>
      </c>
      <c r="J106" s="2">
        <v>2.02</v>
      </c>
      <c r="K106" s="2">
        <v>1.9</v>
      </c>
      <c r="L106" s="2">
        <v>7</v>
      </c>
      <c r="M106" s="2">
        <v>10</v>
      </c>
      <c r="N106" s="4" t="s">
        <v>33</v>
      </c>
      <c r="O106" s="9" t="s">
        <v>34</v>
      </c>
      <c r="P106" s="2">
        <v>70</v>
      </c>
      <c r="Q106" s="2">
        <v>0</v>
      </c>
      <c r="R106" s="6" t="s">
        <v>34</v>
      </c>
      <c r="S106" s="2"/>
      <c r="T106" s="2">
        <v>3586.66</v>
      </c>
      <c r="U106" s="2">
        <v>358.67</v>
      </c>
      <c r="V106" s="2"/>
      <c r="W106" s="2"/>
      <c r="X106" s="2"/>
      <c r="Y106" s="2">
        <v>789.07</v>
      </c>
      <c r="Z106" s="2"/>
      <c r="AA106" s="10">
        <v>4734.4</v>
      </c>
    </row>
    <row r="107" ht="15">
      <c r="A107">
        <v>4</v>
      </c>
      <c r="B107" s="6"/>
      <c r="C107" s="2">
        <v>15</v>
      </c>
      <c r="D107" s="2"/>
      <c r="E107" s="2" t="s">
        <v>227</v>
      </c>
      <c r="F107" s="2" t="s">
        <v>228</v>
      </c>
      <c r="G107" s="6" t="s">
        <v>30</v>
      </c>
      <c r="H107" s="2" t="s">
        <v>31</v>
      </c>
      <c r="I107" s="2" t="s">
        <v>32</v>
      </c>
      <c r="J107" s="2">
        <v>0.318</v>
      </c>
      <c r="K107" s="2">
        <v>0.3</v>
      </c>
      <c r="L107" s="2">
        <v>10.1</v>
      </c>
      <c r="M107" s="2">
        <v>2</v>
      </c>
      <c r="N107" s="4" t="s">
        <v>33</v>
      </c>
      <c r="O107" s="9" t="s">
        <v>34</v>
      </c>
      <c r="P107" s="2">
        <v>20.2</v>
      </c>
      <c r="Q107" s="2">
        <v>0</v>
      </c>
      <c r="R107" s="6" t="s">
        <v>34</v>
      </c>
      <c r="S107" s="2"/>
      <c r="T107" s="2">
        <v>1033.37</v>
      </c>
      <c r="U107" s="2">
        <v>103.34</v>
      </c>
      <c r="V107" s="2"/>
      <c r="W107" s="2"/>
      <c r="X107" s="2"/>
      <c r="Y107" s="2">
        <v>227.34</v>
      </c>
      <c r="Z107" s="2"/>
      <c r="AA107" s="10">
        <v>1364.05</v>
      </c>
    </row>
    <row r="108" ht="15">
      <c r="A108">
        <v>5</v>
      </c>
      <c r="B108" s="6"/>
      <c r="C108" s="2">
        <v>15</v>
      </c>
      <c r="D108" s="2"/>
      <c r="E108" s="2" t="s">
        <v>229</v>
      </c>
      <c r="F108" s="2" t="s">
        <v>230</v>
      </c>
      <c r="G108" s="6" t="s">
        <v>30</v>
      </c>
      <c r="H108" s="2" t="s">
        <v>31</v>
      </c>
      <c r="I108" s="2" t="s">
        <v>32</v>
      </c>
      <c r="J108" s="2">
        <v>5.73</v>
      </c>
      <c r="K108" s="2">
        <v>5.4</v>
      </c>
      <c r="L108" s="2">
        <v>14.9</v>
      </c>
      <c r="M108" s="2">
        <v>30</v>
      </c>
      <c r="N108" s="4" t="s">
        <v>33</v>
      </c>
      <c r="O108" s="9" t="s">
        <v>34</v>
      </c>
      <c r="P108" s="2">
        <v>447</v>
      </c>
      <c r="Q108" s="2">
        <v>0</v>
      </c>
      <c r="R108" s="6" t="s">
        <v>34</v>
      </c>
      <c r="S108" s="2"/>
      <c r="T108" s="2">
        <v>22859.03</v>
      </c>
      <c r="U108" s="2">
        <v>2285.9</v>
      </c>
      <c r="V108" s="2"/>
      <c r="W108" s="2"/>
      <c r="X108" s="2"/>
      <c r="Y108" s="2">
        <v>5028.99</v>
      </c>
      <c r="Z108" s="2"/>
      <c r="AA108" s="10">
        <v>30173.92</v>
      </c>
    </row>
    <row r="109" ht="15">
      <c r="A109">
        <v>6</v>
      </c>
      <c r="B109" s="6"/>
      <c r="C109" s="2">
        <v>15</v>
      </c>
      <c r="D109" s="2"/>
      <c r="E109" s="2" t="s">
        <v>231</v>
      </c>
      <c r="F109" s="2" t="s">
        <v>232</v>
      </c>
      <c r="G109" s="6" t="s">
        <v>30</v>
      </c>
      <c r="H109" s="2" t="s">
        <v>31</v>
      </c>
      <c r="I109" s="2" t="s">
        <v>32</v>
      </c>
      <c r="J109" s="2">
        <v>1.496</v>
      </c>
      <c r="K109" s="2">
        <v>1.41</v>
      </c>
      <c r="L109" s="2">
        <v>122.9</v>
      </c>
      <c r="M109" s="2">
        <v>2</v>
      </c>
      <c r="N109" s="4" t="s">
        <v>33</v>
      </c>
      <c r="O109" s="9" t="s">
        <v>34</v>
      </c>
      <c r="P109" s="2">
        <v>245.8</v>
      </c>
      <c r="Q109" s="2">
        <v>0</v>
      </c>
      <c r="R109" s="6" t="s">
        <v>34</v>
      </c>
      <c r="S109" s="2"/>
      <c r="T109" s="2">
        <v>12559.68</v>
      </c>
      <c r="U109" s="2">
        <v>1255.97</v>
      </c>
      <c r="V109" s="2"/>
      <c r="W109" s="2"/>
      <c r="X109" s="2"/>
      <c r="Y109" s="2">
        <v>2763.13</v>
      </c>
      <c r="Z109" s="2"/>
      <c r="AA109" s="10">
        <v>16578.78</v>
      </c>
    </row>
    <row r="110" ht="15">
      <c r="A110">
        <v>7</v>
      </c>
      <c r="B110" s="6"/>
      <c r="C110" s="2">
        <v>15</v>
      </c>
      <c r="D110" s="2"/>
      <c r="E110" s="2" t="s">
        <v>233</v>
      </c>
      <c r="F110" s="2" t="s">
        <v>234</v>
      </c>
      <c r="G110" s="6" t="s">
        <v>30</v>
      </c>
      <c r="H110" s="2" t="s">
        <v>31</v>
      </c>
      <c r="I110" s="2" t="s">
        <v>32</v>
      </c>
      <c r="J110" s="2">
        <v>5.235</v>
      </c>
      <c r="K110" s="2">
        <v>4.935</v>
      </c>
      <c r="L110" s="2">
        <v>40</v>
      </c>
      <c r="M110" s="2">
        <v>3</v>
      </c>
      <c r="N110" s="4" t="s">
        <v>33</v>
      </c>
      <c r="O110" s="9" t="s">
        <v>34</v>
      </c>
      <c r="P110" s="2">
        <v>120</v>
      </c>
      <c r="Q110" s="2">
        <v>0</v>
      </c>
      <c r="R110" s="6" t="s">
        <v>34</v>
      </c>
      <c r="S110" s="2"/>
      <c r="T110" s="2">
        <v>6159.52</v>
      </c>
      <c r="U110" s="2">
        <v>615.95</v>
      </c>
      <c r="V110" s="2"/>
      <c r="W110" s="2"/>
      <c r="X110" s="2"/>
      <c r="Y110" s="2">
        <v>1355.09</v>
      </c>
      <c r="Z110" s="2"/>
      <c r="AA110" s="10">
        <v>8130.56</v>
      </c>
    </row>
    <row r="111" ht="15">
      <c r="A111">
        <v>8</v>
      </c>
      <c r="B111" s="6"/>
      <c r="C111" s="2">
        <v>15</v>
      </c>
      <c r="D111" s="2"/>
      <c r="E111" s="2" t="s">
        <v>235</v>
      </c>
      <c r="F111" s="2" t="s">
        <v>236</v>
      </c>
      <c r="G111" s="6" t="s">
        <v>30</v>
      </c>
      <c r="H111" s="2" t="s">
        <v>31</v>
      </c>
      <c r="I111" s="2" t="s">
        <v>32</v>
      </c>
      <c r="J111" s="2">
        <v>2.652</v>
      </c>
      <c r="K111" s="2">
        <v>2.5</v>
      </c>
      <c r="L111" s="2">
        <v>29.8</v>
      </c>
      <c r="M111" s="2">
        <v>2</v>
      </c>
      <c r="N111" s="4" t="s">
        <v>33</v>
      </c>
      <c r="O111" s="9" t="s">
        <v>34</v>
      </c>
      <c r="P111" s="2">
        <v>59.6</v>
      </c>
      <c r="Q111" s="2">
        <v>0</v>
      </c>
      <c r="R111" s="6" t="s">
        <v>34</v>
      </c>
      <c r="S111" s="2"/>
      <c r="T111" s="2">
        <v>3059.55</v>
      </c>
      <c r="U111" s="2">
        <v>305.96</v>
      </c>
      <c r="V111" s="2"/>
      <c r="W111" s="2"/>
      <c r="X111" s="2"/>
      <c r="Y111" s="2">
        <v>673.1</v>
      </c>
      <c r="Z111" s="2"/>
      <c r="AA111" s="10">
        <v>4038.61</v>
      </c>
    </row>
    <row r="112" ht="15">
      <c r="A112">
        <v>9</v>
      </c>
      <c r="B112" s="6"/>
      <c r="C112" s="2">
        <v>15</v>
      </c>
      <c r="D112" s="2"/>
      <c r="E112" s="2" t="s">
        <v>237</v>
      </c>
      <c r="F112" s="2" t="s">
        <v>238</v>
      </c>
      <c r="G112" s="6" t="s">
        <v>30</v>
      </c>
      <c r="H112" s="2" t="s">
        <v>31</v>
      </c>
      <c r="I112" s="2" t="s">
        <v>32</v>
      </c>
      <c r="J112" s="2">
        <v>1.22</v>
      </c>
      <c r="K112" s="2">
        <v>1.15</v>
      </c>
      <c r="L112" s="2">
        <v>12.2</v>
      </c>
      <c r="M112" s="2">
        <v>10</v>
      </c>
      <c r="N112" s="4" t="s">
        <v>33</v>
      </c>
      <c r="O112" s="9" t="s">
        <v>34</v>
      </c>
      <c r="P112" s="2">
        <v>122</v>
      </c>
      <c r="Q112" s="2">
        <v>0</v>
      </c>
      <c r="R112" s="6" t="s">
        <v>34</v>
      </c>
      <c r="S112" s="2"/>
      <c r="T112" s="2">
        <v>6236.8</v>
      </c>
      <c r="U112" s="2">
        <v>623.68</v>
      </c>
      <c r="V112" s="2"/>
      <c r="W112" s="2"/>
      <c r="X112" s="2"/>
      <c r="Y112" s="2">
        <v>1372.1</v>
      </c>
      <c r="Z112" s="2"/>
      <c r="AA112" s="10">
        <v>8232.58</v>
      </c>
    </row>
    <row r="113" ht="15">
      <c r="A113">
        <v>10</v>
      </c>
      <c r="B113" s="6"/>
      <c r="C113" s="2">
        <v>15</v>
      </c>
      <c r="D113" s="2"/>
      <c r="E113" s="2" t="s">
        <v>239</v>
      </c>
      <c r="F113" s="2" t="s">
        <v>240</v>
      </c>
      <c r="G113" s="6" t="s">
        <v>30</v>
      </c>
      <c r="H113" s="2" t="s">
        <v>31</v>
      </c>
      <c r="I113" s="2" t="s">
        <v>32</v>
      </c>
      <c r="J113" s="2">
        <v>2.344</v>
      </c>
      <c r="K113" s="2">
        <v>2.21</v>
      </c>
      <c r="L113" s="2">
        <v>31.2</v>
      </c>
      <c r="M113" s="2">
        <v>2</v>
      </c>
      <c r="N113" s="4" t="s">
        <v>33</v>
      </c>
      <c r="O113" s="9" t="s">
        <v>34</v>
      </c>
      <c r="P113" s="2">
        <v>62.4</v>
      </c>
      <c r="Q113" s="2">
        <v>0</v>
      </c>
      <c r="R113" s="6" t="s">
        <v>34</v>
      </c>
      <c r="S113" s="2"/>
      <c r="T113" s="2">
        <v>3200.61</v>
      </c>
      <c r="U113" s="2">
        <v>320.06</v>
      </c>
      <c r="V113" s="2"/>
      <c r="W113" s="2"/>
      <c r="X113" s="2"/>
      <c r="Y113" s="2">
        <v>704.13</v>
      </c>
      <c r="Z113" s="2"/>
      <c r="AA113" s="10">
        <v>4224.8</v>
      </c>
    </row>
    <row r="114" ht="15">
      <c r="A114">
        <v>11</v>
      </c>
      <c r="B114" s="6"/>
      <c r="C114" s="2">
        <v>15</v>
      </c>
      <c r="D114" s="2"/>
      <c r="E114" s="2" t="s">
        <v>241</v>
      </c>
      <c r="F114" s="2" t="s">
        <v>242</v>
      </c>
      <c r="G114" s="6" t="s">
        <v>30</v>
      </c>
      <c r="H114" s="2" t="s">
        <v>31</v>
      </c>
      <c r="I114" s="2" t="s">
        <v>32</v>
      </c>
      <c r="J114" s="2">
        <v>3.12</v>
      </c>
      <c r="K114" s="2">
        <v>2.94</v>
      </c>
      <c r="L114" s="2">
        <v>28.6</v>
      </c>
      <c r="M114" s="2">
        <v>3</v>
      </c>
      <c r="N114" s="4" t="s">
        <v>33</v>
      </c>
      <c r="O114" s="9" t="s">
        <v>34</v>
      </c>
      <c r="P114" s="2">
        <v>85.8</v>
      </c>
      <c r="Q114" s="2">
        <v>0</v>
      </c>
      <c r="R114" s="6" t="s">
        <v>34</v>
      </c>
      <c r="S114" s="2"/>
      <c r="T114" s="2">
        <v>4400.2</v>
      </c>
      <c r="U114" s="2">
        <v>440.02</v>
      </c>
      <c r="V114" s="2"/>
      <c r="W114" s="2"/>
      <c r="X114" s="2"/>
      <c r="Y114" s="2">
        <v>968.04</v>
      </c>
      <c r="Z114" s="2"/>
      <c r="AA114" s="10">
        <v>5808.26</v>
      </c>
    </row>
    <row r="115" ht="15">
      <c r="A115">
        <v>12</v>
      </c>
      <c r="B115" s="6"/>
      <c r="C115" s="2">
        <v>15</v>
      </c>
      <c r="D115" s="2"/>
      <c r="E115" s="2" t="s">
        <v>243</v>
      </c>
      <c r="F115" s="2" t="s">
        <v>244</v>
      </c>
      <c r="G115" s="6" t="s">
        <v>30</v>
      </c>
      <c r="H115" s="2" t="s">
        <v>31</v>
      </c>
      <c r="I115" s="2" t="s">
        <v>32</v>
      </c>
      <c r="J115" s="2">
        <v>8.168</v>
      </c>
      <c r="K115" s="2">
        <v>7.7</v>
      </c>
      <c r="L115" s="2">
        <v>28.5</v>
      </c>
      <c r="M115" s="2">
        <v>4</v>
      </c>
      <c r="N115" s="4" t="s">
        <v>33</v>
      </c>
      <c r="O115" s="9" t="s">
        <v>34</v>
      </c>
      <c r="P115" s="2">
        <v>114</v>
      </c>
      <c r="Q115" s="2">
        <v>0</v>
      </c>
      <c r="R115" s="6" t="s">
        <v>34</v>
      </c>
      <c r="S115" s="2"/>
      <c r="T115" s="2">
        <v>5871.3</v>
      </c>
      <c r="U115" s="2">
        <v>587.13</v>
      </c>
      <c r="V115" s="2"/>
      <c r="W115" s="2"/>
      <c r="X115" s="2"/>
      <c r="Y115" s="2">
        <v>1291.69</v>
      </c>
      <c r="Z115" s="2"/>
      <c r="AA115" s="10">
        <v>7750.12</v>
      </c>
    </row>
    <row r="116" ht="15">
      <c r="A116">
        <v>13</v>
      </c>
      <c r="B116" s="6"/>
      <c r="C116" s="2">
        <v>15</v>
      </c>
      <c r="D116" s="2"/>
      <c r="E116" s="2" t="s">
        <v>245</v>
      </c>
      <c r="F116" s="2" t="s">
        <v>246</v>
      </c>
      <c r="G116" s="6" t="s">
        <v>30</v>
      </c>
      <c r="H116" s="2" t="s">
        <v>31</v>
      </c>
      <c r="I116" s="2" t="s">
        <v>32</v>
      </c>
      <c r="J116" s="2">
        <v>5.952</v>
      </c>
      <c r="K116" s="2">
        <v>5.61</v>
      </c>
      <c r="L116" s="2">
        <v>33</v>
      </c>
      <c r="M116" s="2">
        <v>3</v>
      </c>
      <c r="N116" s="4" t="s">
        <v>33</v>
      </c>
      <c r="O116" s="9" t="s">
        <v>34</v>
      </c>
      <c r="P116" s="2">
        <v>99</v>
      </c>
      <c r="Q116" s="2">
        <v>0</v>
      </c>
      <c r="R116" s="6" t="s">
        <v>34</v>
      </c>
      <c r="S116" s="2"/>
      <c r="T116" s="2">
        <v>5091.7</v>
      </c>
      <c r="U116" s="2">
        <v>509.17</v>
      </c>
      <c r="V116" s="2"/>
      <c r="W116" s="2"/>
      <c r="X116" s="2"/>
      <c r="Y116" s="2">
        <v>1120.17</v>
      </c>
      <c r="Z116" s="2"/>
      <c r="AA116" s="10">
        <v>6721.04</v>
      </c>
    </row>
    <row r="117" ht="15">
      <c r="A117">
        <v>14</v>
      </c>
      <c r="B117" s="6"/>
      <c r="C117" s="2">
        <v>15</v>
      </c>
      <c r="D117" s="2"/>
      <c r="E117" s="2" t="s">
        <v>247</v>
      </c>
      <c r="F117" s="2" t="s">
        <v>248</v>
      </c>
      <c r="G117" s="6" t="s">
        <v>30</v>
      </c>
      <c r="H117" s="2" t="s">
        <v>31</v>
      </c>
      <c r="I117" s="2" t="s">
        <v>32</v>
      </c>
      <c r="J117" s="2">
        <v>0.165</v>
      </c>
      <c r="K117" s="2">
        <v>0.15</v>
      </c>
      <c r="L117" s="2">
        <v>10</v>
      </c>
      <c r="M117" s="2">
        <v>15</v>
      </c>
      <c r="N117" s="4" t="s">
        <v>33</v>
      </c>
      <c r="O117" s="9" t="s">
        <v>34</v>
      </c>
      <c r="P117" s="2">
        <v>150</v>
      </c>
      <c r="Q117" s="2">
        <v>0</v>
      </c>
      <c r="R117" s="6" t="s">
        <v>34</v>
      </c>
      <c r="S117" s="2"/>
      <c r="T117" s="2">
        <v>7659.95</v>
      </c>
      <c r="U117" s="2">
        <v>766</v>
      </c>
      <c r="V117" s="2"/>
      <c r="W117" s="2"/>
      <c r="X117" s="2"/>
      <c r="Y117" s="2">
        <v>1685.19</v>
      </c>
      <c r="Z117" s="2"/>
      <c r="AA117" s="10">
        <v>10111.14</v>
      </c>
    </row>
    <row r="118" ht="15">
      <c r="A118">
        <v>15</v>
      </c>
      <c r="B118" s="6"/>
      <c r="C118" s="2">
        <v>15</v>
      </c>
      <c r="D118" s="2"/>
      <c r="E118" s="2" t="s">
        <v>249</v>
      </c>
      <c r="F118" s="2" t="s">
        <v>250</v>
      </c>
      <c r="G118" s="6" t="s">
        <v>30</v>
      </c>
      <c r="H118" s="2" t="s">
        <v>31</v>
      </c>
      <c r="I118" s="2" t="s">
        <v>32</v>
      </c>
      <c r="J118" s="2">
        <v>4.215</v>
      </c>
      <c r="K118" s="2">
        <v>3.975</v>
      </c>
      <c r="L118" s="2">
        <v>9.4</v>
      </c>
      <c r="M118" s="2">
        <v>15</v>
      </c>
      <c r="N118" s="4" t="s">
        <v>33</v>
      </c>
      <c r="O118" s="9" t="s">
        <v>34</v>
      </c>
      <c r="P118" s="2">
        <v>141</v>
      </c>
      <c r="Q118" s="2">
        <v>0</v>
      </c>
      <c r="R118" s="6" t="s">
        <v>34</v>
      </c>
      <c r="S118" s="2"/>
      <c r="T118" s="2">
        <v>7225.46</v>
      </c>
      <c r="U118" s="2">
        <v>722.55</v>
      </c>
      <c r="V118" s="2"/>
      <c r="W118" s="2"/>
      <c r="X118" s="2"/>
      <c r="Y118" s="2">
        <v>1589.6</v>
      </c>
      <c r="Z118" s="2"/>
      <c r="AA118" s="10">
        <v>9537.61</v>
      </c>
    </row>
    <row r="119" ht="15">
      <c r="A119">
        <v>16</v>
      </c>
      <c r="B119" s="6"/>
      <c r="C119" s="2">
        <v>15</v>
      </c>
      <c r="D119" s="2"/>
      <c r="E119" s="2" t="s">
        <v>251</v>
      </c>
      <c r="F119" s="2" t="s">
        <v>252</v>
      </c>
      <c r="G119" s="6" t="s">
        <v>30</v>
      </c>
      <c r="H119" s="2" t="s">
        <v>31</v>
      </c>
      <c r="I119" s="2" t="s">
        <v>32</v>
      </c>
      <c r="J119" s="2">
        <v>2.625</v>
      </c>
      <c r="K119" s="2">
        <v>2.475</v>
      </c>
      <c r="L119" s="2">
        <v>14.2</v>
      </c>
      <c r="M119" s="2">
        <v>5</v>
      </c>
      <c r="N119" s="4" t="s">
        <v>33</v>
      </c>
      <c r="O119" s="9" t="s">
        <v>34</v>
      </c>
      <c r="P119" s="2">
        <v>71</v>
      </c>
      <c r="Q119" s="2">
        <v>0</v>
      </c>
      <c r="R119" s="6" t="s">
        <v>34</v>
      </c>
      <c r="S119" s="2"/>
      <c r="T119" s="2">
        <v>3641.46</v>
      </c>
      <c r="U119" s="2">
        <v>364.15</v>
      </c>
      <c r="V119" s="2"/>
      <c r="W119" s="2"/>
      <c r="X119" s="2"/>
      <c r="Y119" s="2">
        <v>801.12</v>
      </c>
      <c r="Z119" s="2"/>
      <c r="AA119" s="10">
        <v>4806.73</v>
      </c>
    </row>
    <row r="120" ht="15">
      <c r="A120">
        <v>17</v>
      </c>
      <c r="B120" s="6"/>
      <c r="C120" s="2">
        <v>15</v>
      </c>
      <c r="D120" s="2"/>
      <c r="E120" s="2" t="s">
        <v>253</v>
      </c>
      <c r="F120" s="2" t="s">
        <v>254</v>
      </c>
      <c r="G120" s="6" t="s">
        <v>30</v>
      </c>
      <c r="H120" s="2" t="s">
        <v>31</v>
      </c>
      <c r="I120" s="2" t="s">
        <v>32</v>
      </c>
      <c r="J120" s="2">
        <v>1.718</v>
      </c>
      <c r="K120" s="2">
        <v>1.62</v>
      </c>
      <c r="L120" s="2">
        <v>22.7</v>
      </c>
      <c r="M120" s="2">
        <v>2</v>
      </c>
      <c r="N120" s="4" t="s">
        <v>33</v>
      </c>
      <c r="O120" s="9" t="s">
        <v>34</v>
      </c>
      <c r="P120" s="2">
        <v>45.4</v>
      </c>
      <c r="Q120" s="2">
        <v>0</v>
      </c>
      <c r="R120" s="6" t="s">
        <v>34</v>
      </c>
      <c r="S120" s="2"/>
      <c r="T120" s="2">
        <v>2328.73</v>
      </c>
      <c r="U120" s="2">
        <v>232.87</v>
      </c>
      <c r="V120" s="2"/>
      <c r="W120" s="2"/>
      <c r="X120" s="2"/>
      <c r="Y120" s="2">
        <v>512.32</v>
      </c>
      <c r="Z120" s="2"/>
      <c r="AA120" s="10">
        <v>3073.92</v>
      </c>
    </row>
    <row r="121" ht="15">
      <c r="A121">
        <v>18</v>
      </c>
      <c r="B121" s="6"/>
      <c r="C121" s="2">
        <v>15</v>
      </c>
      <c r="D121" s="2"/>
      <c r="E121" s="2" t="s">
        <v>255</v>
      </c>
      <c r="F121" s="2" t="s">
        <v>256</v>
      </c>
      <c r="G121" s="6" t="s">
        <v>30</v>
      </c>
      <c r="H121" s="2" t="s">
        <v>31</v>
      </c>
      <c r="I121" s="2" t="s">
        <v>32</v>
      </c>
      <c r="J121" s="2">
        <v>1.9</v>
      </c>
      <c r="K121" s="2">
        <v>1.8</v>
      </c>
      <c r="L121" s="2">
        <v>9.9</v>
      </c>
      <c r="M121" s="2">
        <v>20</v>
      </c>
      <c r="N121" s="4" t="s">
        <v>33</v>
      </c>
      <c r="O121" s="9" t="s">
        <v>34</v>
      </c>
      <c r="P121" s="2">
        <v>198</v>
      </c>
      <c r="Q121" s="2">
        <v>0</v>
      </c>
      <c r="R121" s="6" t="s">
        <v>34</v>
      </c>
      <c r="S121" s="2"/>
      <c r="T121" s="2">
        <v>10121.53</v>
      </c>
      <c r="U121" s="2">
        <v>1012.15</v>
      </c>
      <c r="V121" s="2"/>
      <c r="W121" s="2"/>
      <c r="X121" s="2"/>
      <c r="Y121" s="2">
        <v>2226.74</v>
      </c>
      <c r="Z121" s="2"/>
      <c r="AA121" s="10">
        <v>13360.42</v>
      </c>
    </row>
    <row r="122" ht="15">
      <c r="A122">
        <v>19</v>
      </c>
      <c r="B122" s="6"/>
      <c r="C122" s="2">
        <v>15</v>
      </c>
      <c r="D122" s="2"/>
      <c r="E122" s="2" t="s">
        <v>257</v>
      </c>
      <c r="F122" s="2" t="s">
        <v>258</v>
      </c>
      <c r="G122" s="6" t="s">
        <v>30</v>
      </c>
      <c r="H122" s="2" t="s">
        <v>31</v>
      </c>
      <c r="I122" s="2" t="s">
        <v>32</v>
      </c>
      <c r="J122" s="2">
        <v>0.912</v>
      </c>
      <c r="K122" s="2">
        <v>0.86</v>
      </c>
      <c r="L122" s="2">
        <v>26.6</v>
      </c>
      <c r="M122" s="2">
        <v>4</v>
      </c>
      <c r="N122" s="4" t="s">
        <v>33</v>
      </c>
      <c r="O122" s="9" t="s">
        <v>34</v>
      </c>
      <c r="P122" s="2">
        <v>106.4</v>
      </c>
      <c r="Q122" s="2">
        <v>0</v>
      </c>
      <c r="R122" s="6" t="s">
        <v>34</v>
      </c>
      <c r="S122" s="2"/>
      <c r="T122" s="2">
        <v>5438.37</v>
      </c>
      <c r="U122" s="2">
        <v>543.84</v>
      </c>
      <c r="V122" s="2"/>
      <c r="W122" s="2"/>
      <c r="X122" s="2"/>
      <c r="Y122" s="2">
        <v>1196.44</v>
      </c>
      <c r="Z122" s="2"/>
      <c r="AA122" s="10">
        <v>7178.65</v>
      </c>
    </row>
    <row r="123" ht="15">
      <c r="A123">
        <v>20</v>
      </c>
      <c r="B123" s="6"/>
      <c r="C123" s="2">
        <v>15</v>
      </c>
      <c r="D123" s="2"/>
      <c r="E123" s="2" t="s">
        <v>259</v>
      </c>
      <c r="F123" s="2" t="s">
        <v>260</v>
      </c>
      <c r="G123" s="6" t="s">
        <v>30</v>
      </c>
      <c r="H123" s="2" t="s">
        <v>31</v>
      </c>
      <c r="I123" s="2" t="s">
        <v>32</v>
      </c>
      <c r="J123" s="2">
        <v>8.49</v>
      </c>
      <c r="K123" s="2">
        <v>8</v>
      </c>
      <c r="L123" s="2">
        <v>21.5</v>
      </c>
      <c r="M123" s="2">
        <v>10</v>
      </c>
      <c r="N123" s="4" t="s">
        <v>33</v>
      </c>
      <c r="O123" s="9" t="s">
        <v>34</v>
      </c>
      <c r="P123" s="2">
        <v>215</v>
      </c>
      <c r="Q123" s="2">
        <v>0</v>
      </c>
      <c r="R123" s="6" t="s">
        <v>34</v>
      </c>
      <c r="S123" s="2"/>
      <c r="T123" s="2">
        <v>11030.3</v>
      </c>
      <c r="U123" s="2">
        <v>1103.03</v>
      </c>
      <c r="V123" s="2"/>
      <c r="W123" s="2"/>
      <c r="X123" s="2"/>
      <c r="Y123" s="2">
        <v>2426.67</v>
      </c>
      <c r="Z123" s="2"/>
      <c r="AA123" s="10">
        <v>14560</v>
      </c>
    </row>
    <row r="124" ht="15">
      <c r="A124">
        <v>21</v>
      </c>
      <c r="B124" s="6"/>
      <c r="C124" s="2">
        <v>15</v>
      </c>
      <c r="D124" s="2"/>
      <c r="E124" s="2" t="s">
        <v>261</v>
      </c>
      <c r="F124" s="2" t="s">
        <v>262</v>
      </c>
      <c r="G124" s="6" t="s">
        <v>30</v>
      </c>
      <c r="H124" s="2" t="s">
        <v>31</v>
      </c>
      <c r="I124" s="2" t="s">
        <v>32</v>
      </c>
      <c r="J124" s="2">
        <v>5.7</v>
      </c>
      <c r="K124" s="2">
        <v>5.4</v>
      </c>
      <c r="L124" s="2">
        <v>14.7</v>
      </c>
      <c r="M124" s="2">
        <v>30</v>
      </c>
      <c r="N124" s="4" t="s">
        <v>33</v>
      </c>
      <c r="O124" s="9" t="s">
        <v>34</v>
      </c>
      <c r="P124" s="2">
        <v>441</v>
      </c>
      <c r="Q124" s="2">
        <v>0</v>
      </c>
      <c r="R124" s="6" t="s">
        <v>34</v>
      </c>
      <c r="S124" s="2"/>
      <c r="T124" s="2">
        <v>22552.49</v>
      </c>
      <c r="U124" s="2">
        <v>2255.25</v>
      </c>
      <c r="V124" s="2"/>
      <c r="W124" s="2"/>
      <c r="X124" s="2"/>
      <c r="Y124" s="2">
        <v>4961.55</v>
      </c>
      <c r="Z124" s="2"/>
      <c r="AA124" s="10">
        <v>29769.29</v>
      </c>
    </row>
    <row r="125" ht="15">
      <c r="A125">
        <v>22</v>
      </c>
      <c r="B125" s="6"/>
      <c r="C125" s="2">
        <v>15</v>
      </c>
      <c r="D125" s="2"/>
      <c r="E125" s="2" t="s">
        <v>263</v>
      </c>
      <c r="F125" s="2" t="s">
        <v>264</v>
      </c>
      <c r="G125" s="6" t="s">
        <v>30</v>
      </c>
      <c r="H125" s="2" t="s">
        <v>31</v>
      </c>
      <c r="I125" s="2" t="s">
        <v>32</v>
      </c>
      <c r="J125" s="2">
        <v>1.33</v>
      </c>
      <c r="K125" s="2">
        <v>1.25</v>
      </c>
      <c r="L125" s="2">
        <v>7.7</v>
      </c>
      <c r="M125" s="2">
        <v>10</v>
      </c>
      <c r="N125" s="4" t="s">
        <v>33</v>
      </c>
      <c r="O125" s="9" t="s">
        <v>34</v>
      </c>
      <c r="P125" s="2">
        <v>77</v>
      </c>
      <c r="Q125" s="2">
        <v>0</v>
      </c>
      <c r="R125" s="6" t="s">
        <v>34</v>
      </c>
      <c r="S125" s="2"/>
      <c r="T125" s="2">
        <v>3939.81</v>
      </c>
      <c r="U125" s="2">
        <v>393.98</v>
      </c>
      <c r="V125" s="2"/>
      <c r="W125" s="2"/>
      <c r="X125" s="2"/>
      <c r="Y125" s="2">
        <v>866.76</v>
      </c>
      <c r="Z125" s="2"/>
      <c r="AA125" s="10">
        <v>5200.55</v>
      </c>
    </row>
    <row r="126" ht="15">
      <c r="A126">
        <v>23</v>
      </c>
      <c r="B126" s="6"/>
      <c r="C126" s="2">
        <v>15</v>
      </c>
      <c r="D126" s="2"/>
      <c r="E126" s="2" t="s">
        <v>265</v>
      </c>
      <c r="F126" s="2" t="s">
        <v>264</v>
      </c>
      <c r="G126" s="6" t="s">
        <v>30</v>
      </c>
      <c r="H126" s="2" t="s">
        <v>31</v>
      </c>
      <c r="I126" s="2" t="s">
        <v>32</v>
      </c>
      <c r="J126" s="2">
        <v>1.43</v>
      </c>
      <c r="K126" s="2">
        <v>1.35</v>
      </c>
      <c r="L126" s="2">
        <v>10.3</v>
      </c>
      <c r="M126" s="2">
        <v>10</v>
      </c>
      <c r="N126" s="4" t="s">
        <v>33</v>
      </c>
      <c r="O126" s="9" t="s">
        <v>34</v>
      </c>
      <c r="P126" s="2">
        <v>103</v>
      </c>
      <c r="Q126" s="2">
        <v>0</v>
      </c>
      <c r="R126" s="6" t="s">
        <v>34</v>
      </c>
      <c r="S126" s="2"/>
      <c r="T126" s="2">
        <v>5267.97</v>
      </c>
      <c r="U126" s="2">
        <v>526.8</v>
      </c>
      <c r="V126" s="2"/>
      <c r="W126" s="2"/>
      <c r="X126" s="2"/>
      <c r="Y126" s="2">
        <v>1158.95</v>
      </c>
      <c r="Z126" s="2"/>
      <c r="AA126" s="10">
        <v>6953.72</v>
      </c>
    </row>
    <row r="127" ht="15">
      <c r="A127">
        <v>24</v>
      </c>
      <c r="B127" s="6"/>
      <c r="C127" s="2">
        <v>15</v>
      </c>
      <c r="D127" s="2"/>
      <c r="E127" s="2" t="s">
        <v>266</v>
      </c>
      <c r="F127" s="2" t="s">
        <v>264</v>
      </c>
      <c r="G127" s="6" t="s">
        <v>30</v>
      </c>
      <c r="H127" s="2" t="s">
        <v>31</v>
      </c>
      <c r="I127" s="2" t="s">
        <v>32</v>
      </c>
      <c r="J127" s="2">
        <v>2.28</v>
      </c>
      <c r="K127" s="2">
        <v>2.15</v>
      </c>
      <c r="L127" s="2">
        <v>18.2</v>
      </c>
      <c r="M127" s="2">
        <v>10</v>
      </c>
      <c r="N127" s="4" t="s">
        <v>33</v>
      </c>
      <c r="O127" s="9" t="s">
        <v>34</v>
      </c>
      <c r="P127" s="2">
        <v>182</v>
      </c>
      <c r="Q127" s="2">
        <v>0</v>
      </c>
      <c r="R127" s="6" t="s">
        <v>34</v>
      </c>
      <c r="S127" s="2"/>
      <c r="T127" s="2">
        <v>9306.93</v>
      </c>
      <c r="U127" s="2">
        <v>930.69</v>
      </c>
      <c r="V127" s="2"/>
      <c r="W127" s="2"/>
      <c r="X127" s="2"/>
      <c r="Y127" s="2">
        <v>2047.52</v>
      </c>
      <c r="Z127" s="2"/>
      <c r="AA127" s="10">
        <v>12285.14</v>
      </c>
    </row>
    <row r="128" ht="15">
      <c r="A128">
        <v>25</v>
      </c>
      <c r="B128" s="6"/>
      <c r="C128" s="2">
        <v>15</v>
      </c>
      <c r="D128" s="2"/>
      <c r="E128" s="2" t="s">
        <v>267</v>
      </c>
      <c r="F128" s="2" t="s">
        <v>268</v>
      </c>
      <c r="G128" s="6" t="s">
        <v>30</v>
      </c>
      <c r="H128" s="2" t="s">
        <v>31</v>
      </c>
      <c r="I128" s="2" t="s">
        <v>32</v>
      </c>
      <c r="J128" s="2">
        <v>47.587</v>
      </c>
      <c r="K128" s="2">
        <v>44.85</v>
      </c>
      <c r="L128" s="2">
        <v>70</v>
      </c>
      <c r="M128" s="2">
        <v>23</v>
      </c>
      <c r="N128" s="4" t="s">
        <v>33</v>
      </c>
      <c r="O128" s="9" t="s">
        <v>34</v>
      </c>
      <c r="P128" s="2">
        <v>1610</v>
      </c>
      <c r="Q128" s="2">
        <v>0</v>
      </c>
      <c r="R128" s="6" t="s">
        <v>34</v>
      </c>
      <c r="S128" s="2"/>
      <c r="T128" s="13">
        <f>SUM(82500.09,-0.02)</f>
        <v>0</v>
      </c>
      <c r="U128" s="13">
        <f>SUM(8250.01,-0.03)</f>
        <v>0</v>
      </c>
      <c r="V128" s="2"/>
      <c r="W128" s="2"/>
      <c r="X128" s="2"/>
      <c r="Y128" s="13">
        <f>SUM(18150.02,-0.01)</f>
        <v>0</v>
      </c>
      <c r="Z128" s="2"/>
      <c r="AA128" s="10">
        <v>108900.12</v>
      </c>
    </row>
    <row r="129" ht="15">
      <c r="A129" s="11"/>
      <c r="B129" s="11"/>
      <c r="C129" s="11"/>
      <c r="D129" s="11"/>
      <c r="E129" s="11"/>
      <c r="F129" s="11" t="s">
        <v>269</v>
      </c>
      <c r="G129" s="11"/>
      <c r="H129" s="11"/>
      <c r="I129" s="11"/>
      <c r="J129" s="11">
        <f>SUM(J104:J128)</f>
        <v>0</v>
      </c>
      <c r="K129" s="11">
        <f>SUM(K104:K128)</f>
        <v>0</v>
      </c>
      <c r="L129" s="11"/>
      <c r="M129" s="11">
        <f>SUM(M104:M128)</f>
        <v>0</v>
      </c>
      <c r="N129" s="12"/>
      <c r="O129" s="14"/>
      <c r="P129" s="11">
        <f>SUM(P104:P128)</f>
        <v>0</v>
      </c>
      <c r="Q129" s="11">
        <f>SUM(Q104:Q128)</f>
        <v>0</v>
      </c>
      <c r="R129" s="11"/>
      <c r="S129" s="11">
        <f>SUM(S104:S128)</f>
        <v>0</v>
      </c>
      <c r="T129" s="11"/>
      <c r="U129" s="11"/>
      <c r="V129" s="11"/>
      <c r="W129" s="11"/>
      <c r="X129" s="11"/>
      <c r="Y129" s="11"/>
      <c r="Z129" s="11"/>
      <c r="AA129" s="11"/>
    </row>
    <row r="130" ht="15">
      <c r="A130">
        <v>1</v>
      </c>
      <c r="B130" s="6" t="s">
        <v>270</v>
      </c>
      <c r="C130" s="2">
        <v>16</v>
      </c>
      <c r="D130" s="2"/>
      <c r="E130" s="2" t="s">
        <v>271</v>
      </c>
      <c r="F130" s="2" t="s">
        <v>272</v>
      </c>
      <c r="G130" s="6" t="s">
        <v>30</v>
      </c>
      <c r="H130" s="2" t="s">
        <v>31</v>
      </c>
      <c r="I130" s="2" t="s">
        <v>32</v>
      </c>
      <c r="J130" s="2">
        <v>5.432</v>
      </c>
      <c r="K130" s="2">
        <v>5.12</v>
      </c>
      <c r="L130" s="2">
        <v>109.3</v>
      </c>
      <c r="M130" s="2">
        <v>2</v>
      </c>
      <c r="N130" s="4" t="s">
        <v>33</v>
      </c>
      <c r="O130" s="9" t="s">
        <v>34</v>
      </c>
      <c r="P130" s="2">
        <v>218.6</v>
      </c>
      <c r="Q130" s="2">
        <v>0</v>
      </c>
      <c r="R130" s="6" t="s">
        <v>34</v>
      </c>
      <c r="S130" s="2"/>
      <c r="T130" s="2">
        <v>11195.2</v>
      </c>
      <c r="U130" s="2">
        <v>559.76</v>
      </c>
      <c r="V130" s="2"/>
      <c r="W130" s="2"/>
      <c r="X130" s="2"/>
      <c r="Y130" s="2">
        <v>2350.99</v>
      </c>
      <c r="Z130" s="2"/>
      <c r="AA130" s="10">
        <v>14105.95</v>
      </c>
    </row>
    <row r="131" ht="15">
      <c r="A131" s="11"/>
      <c r="B131" s="11"/>
      <c r="C131" s="11"/>
      <c r="D131" s="11"/>
      <c r="E131" s="11"/>
      <c r="F131" s="11" t="s">
        <v>273</v>
      </c>
      <c r="G131" s="11"/>
      <c r="H131" s="11"/>
      <c r="I131" s="11"/>
      <c r="J131" s="11">
        <f>SUM(J130:J130)</f>
        <v>0</v>
      </c>
      <c r="K131" s="11">
        <f>SUM(K130:K130)</f>
        <v>0</v>
      </c>
      <c r="L131" s="11"/>
      <c r="M131" s="11">
        <f>SUM(M130:M130)</f>
        <v>0</v>
      </c>
      <c r="N131" s="12"/>
      <c r="O131" s="14"/>
      <c r="P131" s="11">
        <f>SUM(P130:P130)</f>
        <v>0</v>
      </c>
      <c r="Q131" s="11">
        <f>SUM(Q130:Q130)</f>
        <v>0</v>
      </c>
      <c r="R131" s="11"/>
      <c r="S131" s="11">
        <f>SUM(S130:S130)</f>
        <v>0</v>
      </c>
      <c r="T131" s="11"/>
      <c r="U131" s="11"/>
      <c r="V131" s="11"/>
      <c r="W131" s="11"/>
      <c r="X131" s="11"/>
      <c r="Y131" s="11"/>
      <c r="Z131" s="11"/>
      <c r="AA131" s="11"/>
    </row>
    <row r="132" ht="15">
      <c r="A132">
        <v>1</v>
      </c>
      <c r="B132" s="6" t="s">
        <v>274</v>
      </c>
      <c r="C132" s="2">
        <v>17</v>
      </c>
      <c r="D132" s="2"/>
      <c r="E132" s="2" t="s">
        <v>275</v>
      </c>
      <c r="F132" s="2" t="s">
        <v>276</v>
      </c>
      <c r="G132" s="6" t="s">
        <v>30</v>
      </c>
      <c r="H132" s="2" t="s">
        <v>31</v>
      </c>
      <c r="I132" s="2" t="s">
        <v>32</v>
      </c>
      <c r="J132" s="2">
        <v>6.246</v>
      </c>
      <c r="K132" s="2">
        <v>5.89</v>
      </c>
      <c r="L132" s="2">
        <v>58</v>
      </c>
      <c r="M132" s="2">
        <v>2</v>
      </c>
      <c r="N132" s="4" t="s">
        <v>33</v>
      </c>
      <c r="O132" s="9" t="s">
        <v>34</v>
      </c>
      <c r="P132" s="2">
        <v>116</v>
      </c>
      <c r="Q132" s="2">
        <v>0</v>
      </c>
      <c r="R132" s="6" t="s">
        <v>34</v>
      </c>
      <c r="S132" s="2"/>
      <c r="T132" s="2">
        <v>5961.53</v>
      </c>
      <c r="U132" s="2">
        <v>596.15</v>
      </c>
      <c r="V132" s="2"/>
      <c r="W132" s="2"/>
      <c r="X132" s="2"/>
      <c r="Y132" s="2">
        <v>1311.54</v>
      </c>
      <c r="Z132" s="2"/>
      <c r="AA132" s="10">
        <v>7869.22</v>
      </c>
    </row>
    <row r="133" ht="15">
      <c r="A133">
        <v>2</v>
      </c>
      <c r="B133" s="6"/>
      <c r="C133" s="2">
        <v>17</v>
      </c>
      <c r="D133" s="2"/>
      <c r="E133" s="2" t="s">
        <v>277</v>
      </c>
      <c r="F133" s="2" t="s">
        <v>278</v>
      </c>
      <c r="G133" s="6" t="s">
        <v>30</v>
      </c>
      <c r="H133" s="2" t="s">
        <v>31</v>
      </c>
      <c r="I133" s="2" t="s">
        <v>32</v>
      </c>
      <c r="J133" s="2">
        <v>2.49</v>
      </c>
      <c r="K133" s="2">
        <v>2.35</v>
      </c>
      <c r="L133" s="2">
        <v>13.3</v>
      </c>
      <c r="M133" s="2">
        <v>10</v>
      </c>
      <c r="N133" s="4" t="s">
        <v>33</v>
      </c>
      <c r="O133" s="9" t="s">
        <v>34</v>
      </c>
      <c r="P133" s="2">
        <v>133</v>
      </c>
      <c r="Q133" s="2">
        <v>0</v>
      </c>
      <c r="R133" s="6" t="s">
        <v>34</v>
      </c>
      <c r="S133" s="2"/>
      <c r="T133" s="2">
        <v>6806.31</v>
      </c>
      <c r="U133" s="2">
        <v>680.63</v>
      </c>
      <c r="V133" s="2"/>
      <c r="W133" s="2"/>
      <c r="X133" s="2"/>
      <c r="Y133" s="2">
        <v>1497.39</v>
      </c>
      <c r="Z133" s="2"/>
      <c r="AA133" s="10">
        <v>8984.33</v>
      </c>
    </row>
    <row r="134" ht="15">
      <c r="A134">
        <v>3</v>
      </c>
      <c r="B134" s="6"/>
      <c r="C134" s="2">
        <v>17</v>
      </c>
      <c r="D134" s="2"/>
      <c r="E134" s="2" t="s">
        <v>279</v>
      </c>
      <c r="F134" s="2" t="s">
        <v>278</v>
      </c>
      <c r="G134" s="6" t="s">
        <v>30</v>
      </c>
      <c r="H134" s="2" t="s">
        <v>31</v>
      </c>
      <c r="I134" s="2" t="s">
        <v>32</v>
      </c>
      <c r="J134" s="2">
        <v>1.49</v>
      </c>
      <c r="K134" s="2">
        <v>1.4</v>
      </c>
      <c r="L134" s="2">
        <v>9.3</v>
      </c>
      <c r="M134" s="2">
        <v>10</v>
      </c>
      <c r="N134" s="4" t="s">
        <v>33</v>
      </c>
      <c r="O134" s="9" t="s">
        <v>34</v>
      </c>
      <c r="P134" s="2">
        <v>93</v>
      </c>
      <c r="Q134" s="2">
        <v>0</v>
      </c>
      <c r="R134" s="6" t="s">
        <v>34</v>
      </c>
      <c r="S134" s="2"/>
      <c r="T134" s="2">
        <v>4757.75</v>
      </c>
      <c r="U134" s="2">
        <v>475.78</v>
      </c>
      <c r="V134" s="2"/>
      <c r="W134" s="2"/>
      <c r="X134" s="2"/>
      <c r="Y134" s="2">
        <v>1046.71</v>
      </c>
      <c r="Z134" s="2"/>
      <c r="AA134" s="10">
        <v>6280.24</v>
      </c>
    </row>
    <row r="135" ht="15">
      <c r="A135">
        <v>4</v>
      </c>
      <c r="B135" s="6"/>
      <c r="C135" s="2">
        <v>17</v>
      </c>
      <c r="D135" s="2"/>
      <c r="E135" s="2" t="s">
        <v>280</v>
      </c>
      <c r="F135" s="2" t="s">
        <v>281</v>
      </c>
      <c r="G135" s="6" t="s">
        <v>30</v>
      </c>
      <c r="H135" s="2" t="s">
        <v>31</v>
      </c>
      <c r="I135" s="2" t="s">
        <v>32</v>
      </c>
      <c r="J135" s="2">
        <v>10.311</v>
      </c>
      <c r="K135" s="2">
        <v>9.72</v>
      </c>
      <c r="L135" s="2">
        <v>59.8</v>
      </c>
      <c r="M135" s="2">
        <v>3</v>
      </c>
      <c r="N135" s="4" t="s">
        <v>33</v>
      </c>
      <c r="O135" s="9" t="s">
        <v>34</v>
      </c>
      <c r="P135" s="2">
        <v>179.4</v>
      </c>
      <c r="Q135" s="2">
        <v>0</v>
      </c>
      <c r="R135" s="6" t="s">
        <v>34</v>
      </c>
      <c r="S135" s="2"/>
      <c r="T135" s="2">
        <v>9223.84</v>
      </c>
      <c r="U135" s="2">
        <v>922.38</v>
      </c>
      <c r="V135" s="2"/>
      <c r="W135" s="2"/>
      <c r="X135" s="2"/>
      <c r="Y135" s="2">
        <v>2029.24</v>
      </c>
      <c r="Z135" s="2"/>
      <c r="AA135" s="10">
        <v>12175.46</v>
      </c>
    </row>
    <row r="136" ht="15">
      <c r="A136">
        <v>5</v>
      </c>
      <c r="B136" s="6"/>
      <c r="C136" s="2">
        <v>17</v>
      </c>
      <c r="D136" s="2"/>
      <c r="E136" s="2" t="s">
        <v>282</v>
      </c>
      <c r="F136" s="2" t="s">
        <v>283</v>
      </c>
      <c r="G136" s="6" t="s">
        <v>30</v>
      </c>
      <c r="H136" s="2" t="s">
        <v>31</v>
      </c>
      <c r="I136" s="2" t="s">
        <v>32</v>
      </c>
      <c r="J136" s="2">
        <v>1.7</v>
      </c>
      <c r="K136" s="2">
        <v>1.6</v>
      </c>
      <c r="L136" s="2">
        <v>24</v>
      </c>
      <c r="M136" s="2">
        <v>10</v>
      </c>
      <c r="N136" s="4" t="s">
        <v>33</v>
      </c>
      <c r="O136" s="9" t="s">
        <v>34</v>
      </c>
      <c r="P136" s="2">
        <v>240</v>
      </c>
      <c r="Q136" s="2">
        <v>0</v>
      </c>
      <c r="R136" s="6" t="s">
        <v>34</v>
      </c>
      <c r="S136" s="2"/>
      <c r="T136" s="13">
        <f>SUM(12264.79,0.01)</f>
        <v>0</v>
      </c>
      <c r="U136" s="2">
        <v>1226.48</v>
      </c>
      <c r="V136" s="2"/>
      <c r="W136" s="2"/>
      <c r="X136" s="2"/>
      <c r="Y136" s="2">
        <v>2698.25</v>
      </c>
      <c r="Z136" s="2"/>
      <c r="AA136" s="10">
        <v>16189.52</v>
      </c>
    </row>
    <row r="137" ht="15">
      <c r="A137">
        <v>6</v>
      </c>
      <c r="B137" s="6"/>
      <c r="C137" s="2">
        <v>17</v>
      </c>
      <c r="D137" s="2"/>
      <c r="E137" s="2" t="s">
        <v>284</v>
      </c>
      <c r="F137" s="2" t="s">
        <v>285</v>
      </c>
      <c r="G137" s="6" t="s">
        <v>30</v>
      </c>
      <c r="H137" s="2" t="s">
        <v>31</v>
      </c>
      <c r="I137" s="2" t="s">
        <v>32</v>
      </c>
      <c r="J137" s="2">
        <v>2.354</v>
      </c>
      <c r="K137" s="2">
        <v>2.22</v>
      </c>
      <c r="L137" s="2">
        <v>24.7</v>
      </c>
      <c r="M137" s="2">
        <v>2</v>
      </c>
      <c r="N137" s="4" t="s">
        <v>33</v>
      </c>
      <c r="O137" s="9" t="s">
        <v>34</v>
      </c>
      <c r="P137" s="2">
        <v>49.4</v>
      </c>
      <c r="Q137" s="2">
        <v>0</v>
      </c>
      <c r="R137" s="6" t="s">
        <v>34</v>
      </c>
      <c r="S137" s="2"/>
      <c r="T137" s="2">
        <v>2536.9</v>
      </c>
      <c r="U137" s="2">
        <v>253.69</v>
      </c>
      <c r="V137" s="2"/>
      <c r="W137" s="2"/>
      <c r="X137" s="2"/>
      <c r="Y137" s="2">
        <v>558.12</v>
      </c>
      <c r="Z137" s="2"/>
      <c r="AA137" s="10">
        <v>3348.71</v>
      </c>
    </row>
    <row r="138" ht="15">
      <c r="A138">
        <v>7</v>
      </c>
      <c r="B138" s="6"/>
      <c r="C138" s="2">
        <v>17</v>
      </c>
      <c r="D138" s="2"/>
      <c r="E138" s="2" t="s">
        <v>286</v>
      </c>
      <c r="F138" s="2" t="s">
        <v>287</v>
      </c>
      <c r="G138" s="6" t="s">
        <v>30</v>
      </c>
      <c r="H138" s="2" t="s">
        <v>31</v>
      </c>
      <c r="I138" s="2" t="s">
        <v>32</v>
      </c>
      <c r="J138" s="2">
        <v>3.18</v>
      </c>
      <c r="K138" s="2">
        <v>3</v>
      </c>
      <c r="L138" s="2">
        <v>32.6</v>
      </c>
      <c r="M138" s="2">
        <v>6</v>
      </c>
      <c r="N138" s="4" t="s">
        <v>33</v>
      </c>
      <c r="O138" s="9" t="s">
        <v>34</v>
      </c>
      <c r="P138" s="2">
        <v>195.6</v>
      </c>
      <c r="Q138" s="2">
        <v>0</v>
      </c>
      <c r="R138" s="6" t="s">
        <v>34</v>
      </c>
      <c r="S138" s="2"/>
      <c r="T138" s="2">
        <v>10006.9</v>
      </c>
      <c r="U138" s="2">
        <v>1000.69</v>
      </c>
      <c r="V138" s="2"/>
      <c r="W138" s="2"/>
      <c r="X138" s="2"/>
      <c r="Y138" s="2">
        <v>2201.52</v>
      </c>
      <c r="Z138" s="2"/>
      <c r="AA138" s="10">
        <v>13209.11</v>
      </c>
    </row>
    <row r="139" ht="15">
      <c r="A139" s="11"/>
      <c r="B139" s="11"/>
      <c r="C139" s="11"/>
      <c r="D139" s="11"/>
      <c r="E139" s="11"/>
      <c r="F139" s="11" t="s">
        <v>288</v>
      </c>
      <c r="G139" s="11"/>
      <c r="H139" s="11"/>
      <c r="I139" s="11"/>
      <c r="J139" s="11">
        <f>SUM(J132:J138)</f>
        <v>0</v>
      </c>
      <c r="K139" s="11">
        <f>SUM(K132:K138)</f>
        <v>0</v>
      </c>
      <c r="L139" s="11"/>
      <c r="M139" s="11">
        <f>SUM(M132:M138)</f>
        <v>0</v>
      </c>
      <c r="N139" s="12"/>
      <c r="O139" s="14"/>
      <c r="P139" s="11">
        <f>SUM(P132:P138)</f>
        <v>0</v>
      </c>
      <c r="Q139" s="11">
        <f>SUM(Q132:Q138)</f>
        <v>0</v>
      </c>
      <c r="R139" s="11"/>
      <c r="S139" s="11">
        <f>SUM(S132:S138)</f>
        <v>0</v>
      </c>
      <c r="T139" s="11"/>
      <c r="U139" s="11"/>
      <c r="V139" s="11"/>
      <c r="W139" s="11"/>
      <c r="X139" s="11"/>
      <c r="Y139" s="11"/>
      <c r="Z139" s="11"/>
      <c r="AA139" s="11"/>
    </row>
    <row r="140" ht="15">
      <c r="A140">
        <v>1</v>
      </c>
      <c r="B140" s="6" t="s">
        <v>289</v>
      </c>
      <c r="C140" s="2">
        <v>18</v>
      </c>
      <c r="D140" s="2"/>
      <c r="E140" s="2" t="s">
        <v>290</v>
      </c>
      <c r="F140" s="2" t="s">
        <v>291</v>
      </c>
      <c r="G140" s="6" t="s">
        <v>30</v>
      </c>
      <c r="H140" s="2" t="s">
        <v>31</v>
      </c>
      <c r="I140" s="2" t="s">
        <v>32</v>
      </c>
      <c r="J140" s="2">
        <v>0.296</v>
      </c>
      <c r="K140" s="2">
        <v>0.28</v>
      </c>
      <c r="L140" s="2">
        <v>15.7</v>
      </c>
      <c r="M140" s="2">
        <v>4</v>
      </c>
      <c r="N140" s="4" t="s">
        <v>33</v>
      </c>
      <c r="O140" s="9" t="s">
        <v>34</v>
      </c>
      <c r="P140" s="2">
        <v>62.8</v>
      </c>
      <c r="Q140" s="2">
        <v>4</v>
      </c>
      <c r="R140" s="6" t="s">
        <v>34</v>
      </c>
      <c r="S140" s="2"/>
      <c r="T140" s="2">
        <v>3208.37</v>
      </c>
      <c r="U140" s="2">
        <v>0</v>
      </c>
      <c r="V140" s="2"/>
      <c r="W140" s="2"/>
      <c r="X140" s="2"/>
      <c r="Y140" s="2">
        <v>641.67</v>
      </c>
      <c r="Z140" s="2"/>
      <c r="AA140" s="10">
        <v>3850.04</v>
      </c>
    </row>
    <row r="141" ht="15">
      <c r="A141">
        <v>2</v>
      </c>
      <c r="B141" s="6"/>
      <c r="C141" s="2">
        <v>18</v>
      </c>
      <c r="D141" s="2"/>
      <c r="E141" s="2" t="s">
        <v>292</v>
      </c>
      <c r="F141" s="2" t="s">
        <v>293</v>
      </c>
      <c r="G141" s="6" t="s">
        <v>30</v>
      </c>
      <c r="H141" s="2" t="s">
        <v>31</v>
      </c>
      <c r="I141" s="2" t="s">
        <v>32</v>
      </c>
      <c r="J141" s="2">
        <v>0.425</v>
      </c>
      <c r="K141" s="2">
        <v>0.4</v>
      </c>
      <c r="L141" s="2">
        <v>28.1</v>
      </c>
      <c r="M141" s="2">
        <v>5</v>
      </c>
      <c r="N141" s="4" t="s">
        <v>33</v>
      </c>
      <c r="O141" s="9" t="s">
        <v>34</v>
      </c>
      <c r="P141" s="2">
        <v>140.5</v>
      </c>
      <c r="Q141" s="2">
        <v>5</v>
      </c>
      <c r="R141" s="6" t="s">
        <v>34</v>
      </c>
      <c r="S141" s="2"/>
      <c r="T141" s="2">
        <v>7176.49</v>
      </c>
      <c r="U141" s="2">
        <v>0</v>
      </c>
      <c r="V141" s="2"/>
      <c r="W141" s="2"/>
      <c r="X141" s="2"/>
      <c r="Y141" s="2">
        <v>1435.3</v>
      </c>
      <c r="Z141" s="2"/>
      <c r="AA141" s="10">
        <v>8611.79</v>
      </c>
    </row>
    <row r="142" ht="15">
      <c r="A142">
        <v>3</v>
      </c>
      <c r="B142" s="6"/>
      <c r="C142" s="2">
        <v>18</v>
      </c>
      <c r="D142" s="2"/>
      <c r="E142" s="2" t="s">
        <v>294</v>
      </c>
      <c r="F142" s="2" t="s">
        <v>295</v>
      </c>
      <c r="G142" s="6" t="s">
        <v>30</v>
      </c>
      <c r="H142" s="2" t="s">
        <v>31</v>
      </c>
      <c r="I142" s="2" t="s">
        <v>32</v>
      </c>
      <c r="J142" s="2">
        <v>0.5</v>
      </c>
      <c r="K142" s="2">
        <v>0.48</v>
      </c>
      <c r="L142" s="2">
        <v>19.3</v>
      </c>
      <c r="M142" s="2">
        <v>20</v>
      </c>
      <c r="N142" s="4" t="s">
        <v>33</v>
      </c>
      <c r="O142" s="9" t="s">
        <v>34</v>
      </c>
      <c r="P142" s="2">
        <v>386</v>
      </c>
      <c r="Q142" s="2">
        <v>20</v>
      </c>
      <c r="R142" s="6" t="s">
        <v>34</v>
      </c>
      <c r="S142" s="2"/>
      <c r="T142" s="13">
        <f>SUM(19712.06,-0.01)</f>
        <v>0</v>
      </c>
      <c r="U142" s="2">
        <v>0</v>
      </c>
      <c r="V142" s="2"/>
      <c r="W142" s="2"/>
      <c r="X142" s="2"/>
      <c r="Y142" s="2">
        <v>3942.41</v>
      </c>
      <c r="Z142" s="2"/>
      <c r="AA142" s="10">
        <v>23654.47</v>
      </c>
    </row>
    <row r="143" ht="15">
      <c r="A143" s="11"/>
      <c r="B143" s="11"/>
      <c r="C143" s="11"/>
      <c r="D143" s="11"/>
      <c r="E143" s="11"/>
      <c r="F143" s="11" t="s">
        <v>296</v>
      </c>
      <c r="G143" s="11"/>
      <c r="H143" s="11"/>
      <c r="I143" s="11"/>
      <c r="J143" s="11">
        <f>SUM(J140:J142)</f>
        <v>0</v>
      </c>
      <c r="K143" s="11">
        <f>SUM(K140:K142)</f>
        <v>0</v>
      </c>
      <c r="L143" s="11"/>
      <c r="M143" s="11">
        <f>SUM(M140:M142)</f>
        <v>0</v>
      </c>
      <c r="N143" s="12"/>
      <c r="O143" s="14"/>
      <c r="P143" s="11">
        <f>SUM(P140:P142)</f>
        <v>0</v>
      </c>
      <c r="Q143" s="11">
        <f>SUM(Q140:Q142)</f>
        <v>0</v>
      </c>
      <c r="R143" s="11"/>
      <c r="S143" s="11">
        <f>SUM(S140:S142)</f>
        <v>0</v>
      </c>
      <c r="T143" s="11"/>
      <c r="U143" s="11"/>
      <c r="V143" s="11"/>
      <c r="W143" s="11"/>
      <c r="X143" s="11"/>
      <c r="Y143" s="11"/>
      <c r="Z143" s="11"/>
      <c r="AA143" s="11"/>
    </row>
    <row r="144" ht="15">
      <c r="A144">
        <v>1</v>
      </c>
      <c r="B144" s="6" t="s">
        <v>297</v>
      </c>
      <c r="C144" s="2">
        <v>19</v>
      </c>
      <c r="D144" s="2"/>
      <c r="E144" s="2" t="s">
        <v>298</v>
      </c>
      <c r="F144" s="2" t="s">
        <v>299</v>
      </c>
      <c r="G144" s="6" t="s">
        <v>30</v>
      </c>
      <c r="H144" s="2" t="s">
        <v>31</v>
      </c>
      <c r="I144" s="2" t="s">
        <v>32</v>
      </c>
      <c r="J144" s="2">
        <v>11.055</v>
      </c>
      <c r="K144" s="2">
        <v>10.425</v>
      </c>
      <c r="L144" s="2">
        <v>91</v>
      </c>
      <c r="M144" s="2">
        <v>15</v>
      </c>
      <c r="N144" s="4" t="s">
        <v>33</v>
      </c>
      <c r="O144" s="9" t="s">
        <v>34</v>
      </c>
      <c r="P144" s="2">
        <v>1365</v>
      </c>
      <c r="Q144" s="2">
        <v>15</v>
      </c>
      <c r="R144" s="6" t="s">
        <v>34</v>
      </c>
      <c r="S144" s="2"/>
      <c r="T144" s="2">
        <v>69764.59</v>
      </c>
      <c r="U144" s="2">
        <v>0</v>
      </c>
      <c r="V144" s="2"/>
      <c r="W144" s="2"/>
      <c r="X144" s="2"/>
      <c r="Y144" s="2">
        <v>13952.92</v>
      </c>
      <c r="Z144" s="2"/>
      <c r="AA144" s="10">
        <v>83717.51</v>
      </c>
    </row>
    <row r="145" ht="15">
      <c r="A145" s="11"/>
      <c r="B145" s="11"/>
      <c r="C145" s="11"/>
      <c r="D145" s="11"/>
      <c r="E145" s="11"/>
      <c r="F145" s="11" t="s">
        <v>300</v>
      </c>
      <c r="G145" s="11"/>
      <c r="H145" s="11"/>
      <c r="I145" s="11"/>
      <c r="J145" s="11">
        <f>SUM(J144:J144)</f>
        <v>0</v>
      </c>
      <c r="K145" s="11">
        <f>SUM(K144:K144)</f>
        <v>0</v>
      </c>
      <c r="L145" s="11"/>
      <c r="M145" s="11">
        <f>SUM(M144:M144)</f>
        <v>0</v>
      </c>
      <c r="N145" s="12"/>
      <c r="O145" s="14"/>
      <c r="P145" s="11">
        <f>SUM(P144:P144)</f>
        <v>0</v>
      </c>
      <c r="Q145" s="11">
        <f>SUM(Q144:Q144)</f>
        <v>0</v>
      </c>
      <c r="R145" s="11"/>
      <c r="S145" s="11">
        <f>SUM(S144:S144)</f>
        <v>0</v>
      </c>
      <c r="T145" s="11"/>
      <c r="U145" s="11"/>
      <c r="V145" s="11"/>
      <c r="W145" s="11"/>
      <c r="X145" s="11"/>
      <c r="Y145" s="11"/>
      <c r="Z145" s="11"/>
      <c r="AA145" s="11"/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2026-07-20T16:37:17Z</dcterms:created>
  <dcterms:modified xsi:type="dcterms:W3CDTF">2026-07-20T13:37:17Z</dcterms:modified>
</cp:coreProperties>
</file>