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REMI MAY RE02026000000150 09.07.2026\Розмитнення\"/>
    </mc:Choice>
  </mc:AlternateContent>
  <xr:revisionPtr revIDLastSave="0" documentId="13_ncr:1_{19AD70CD-9009-4156-B87F-C770E2101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1" i="1" l="1"/>
  <c r="H151" i="1"/>
  <c r="I151" i="1"/>
  <c r="J151" i="1"/>
  <c r="K151" i="1"/>
  <c r="L151" i="1"/>
  <c r="F151" i="1"/>
  <c r="E131" i="1" l="1"/>
  <c r="F127" i="1"/>
  <c r="G127" i="1"/>
  <c r="H127" i="1"/>
  <c r="I127" i="1"/>
  <c r="J127" i="1"/>
  <c r="K127" i="1"/>
  <c r="L127" i="1"/>
  <c r="M127" i="1"/>
  <c r="E127" i="1"/>
  <c r="J125" i="1"/>
  <c r="J120" i="1"/>
  <c r="L114" i="1"/>
  <c r="K114" i="1"/>
  <c r="J114" i="1"/>
  <c r="L77" i="1"/>
  <c r="J77" i="1"/>
  <c r="L74" i="1"/>
  <c r="J74" i="1"/>
  <c r="L67" i="1"/>
  <c r="K58" i="1"/>
  <c r="J58" i="1"/>
  <c r="J53" i="1"/>
  <c r="L19" i="1"/>
  <c r="K19" i="1"/>
</calcChain>
</file>

<file path=xl/sharedStrings.xml><?xml version="1.0" encoding="utf-8"?>
<sst xmlns="http://schemas.openxmlformats.org/spreadsheetml/2006/main" count="513" uniqueCount="272">
  <si>
    <t>Список товарів електронного інвойсу МД № 26UA400040014351U3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</si>
  <si>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</si>
  <si>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</si>
  <si>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</si>
  <si>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</si>
  <si>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</si>
  <si>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</si>
  <si>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</si>
  <si>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</si>
  <si>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</si>
  <si>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</si>
  <si>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</si>
  <si>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</si>
  <si>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8708309198</t>
  </si>
  <si>
    <t>6001-01</t>
  </si>
  <si>
    <t xml:space="preserve">Комплект пиловиків супорта гальмівного-20шт, </t>
  </si>
  <si>
    <t>6001-06</t>
  </si>
  <si>
    <t xml:space="preserve">Комплект пиловиків супорта-27шт, </t>
  </si>
  <si>
    <t>6002-01</t>
  </si>
  <si>
    <t xml:space="preserve">Комплект ремонтний напрямних супорта гальмівного-20шт, </t>
  </si>
  <si>
    <t>6002-02</t>
  </si>
  <si>
    <t xml:space="preserve">Комплект ремонтний напрямних супорта гальмівного-10шт, </t>
  </si>
  <si>
    <t>6002-09</t>
  </si>
  <si>
    <t>6002-21</t>
  </si>
  <si>
    <t xml:space="preserve">Комплект ремонтний напрямних супорта гальмівного-80шт, </t>
  </si>
  <si>
    <t>6002-22</t>
  </si>
  <si>
    <t xml:space="preserve">Комплект ремонтний напрямних супорта гальмівного-30шт, </t>
  </si>
  <si>
    <t>6002-24</t>
  </si>
  <si>
    <t xml:space="preserve">Комплект ремонтний напрямних супорта гальмівного-150шт, </t>
  </si>
  <si>
    <t>6002-25</t>
  </si>
  <si>
    <t xml:space="preserve">Комплект кришок супорта гальмівного метал-200шт, </t>
  </si>
  <si>
    <t>6002-36</t>
  </si>
  <si>
    <t xml:space="preserve">Комплект ремонтний напрямних супорта гальмівного-26шт, </t>
  </si>
  <si>
    <t>6002-40</t>
  </si>
  <si>
    <t xml:space="preserve">Комплект ремонтний напрямних супорта гальмівного-5шт, </t>
  </si>
  <si>
    <t>6002-45</t>
  </si>
  <si>
    <t xml:space="preserve">Комплект ремонтний напрямних супорта гальмівного-25шт, </t>
  </si>
  <si>
    <t>6002-46</t>
  </si>
  <si>
    <t xml:space="preserve">Комплект ремонтний напрямних супорта гальмівного-6шт, </t>
  </si>
  <si>
    <t>6004-09</t>
  </si>
  <si>
    <t xml:space="preserve">Вал приводу супорта турмозного-20шт, </t>
  </si>
  <si>
    <t>6004-11</t>
  </si>
  <si>
    <t xml:space="preserve">Комплект ремонтний супорта гальмівного-80шт, </t>
  </si>
  <si>
    <t>6006-02</t>
  </si>
  <si>
    <t xml:space="preserve">Блок приводу супорта гальмівного метал-5шт, </t>
  </si>
  <si>
    <t>6006-04</t>
  </si>
  <si>
    <t xml:space="preserve">Комплект ремонтний блоку приводу супорта гальмівного метал-10шт, </t>
  </si>
  <si>
    <t>6007-01</t>
  </si>
  <si>
    <t xml:space="preserve">Комплект ремонтний підшипника супорта гальмівного-200шт, </t>
  </si>
  <si>
    <t>6007-03</t>
  </si>
  <si>
    <t xml:space="preserve">Комплект ремонтний підшипника супорта гальмівного-30шт, </t>
  </si>
  <si>
    <t>6007-04</t>
  </si>
  <si>
    <t xml:space="preserve">Комплект ремонтний підшипника супорта гальмівного-20шт, </t>
  </si>
  <si>
    <t>6009-01</t>
  </si>
  <si>
    <t xml:space="preserve">Кришка супорта гальмівного пластик-40шт, </t>
  </si>
  <si>
    <t>6009-07-31</t>
  </si>
  <si>
    <t xml:space="preserve">Кришка супорта гальмівного пластик-10шт, </t>
  </si>
  <si>
    <t>6010-02</t>
  </si>
  <si>
    <t xml:space="preserve">Важіль супорта гальмівного метал-10шт, </t>
  </si>
  <si>
    <t>6010-07</t>
  </si>
  <si>
    <t xml:space="preserve">Важіль супорта гальмівного метал-15шт, </t>
  </si>
  <si>
    <t>6010-10</t>
  </si>
  <si>
    <t xml:space="preserve">Важіль супорта гальмівного метал-20шт, </t>
  </si>
  <si>
    <t>6010-12</t>
  </si>
  <si>
    <t>6015-01</t>
  </si>
  <si>
    <t xml:space="preserve">Кришка супорта супорта гальмівного з болтами метал-9шт, </t>
  </si>
  <si>
    <t>6015-02</t>
  </si>
  <si>
    <t xml:space="preserve">Кришка супорта з болтами-10шт, </t>
  </si>
  <si>
    <t>6150-04</t>
  </si>
  <si>
    <t xml:space="preserve">Комплект пиловиків штовхача супорта гальмівного-20шт, </t>
  </si>
  <si>
    <t>6158-03</t>
  </si>
  <si>
    <t xml:space="preserve">Комплект сальників супорта-2шт, </t>
  </si>
  <si>
    <t>6175-04</t>
  </si>
  <si>
    <t xml:space="preserve">Комплект вкладок супорта-5шт, </t>
  </si>
  <si>
    <t>6180-02</t>
  </si>
  <si>
    <t xml:space="preserve">Вал супорта-4шт, </t>
  </si>
  <si>
    <t>6200-06</t>
  </si>
  <si>
    <t xml:space="preserve">Комплект ремонтний направляючих-6шт, </t>
  </si>
  <si>
    <t>6200-08</t>
  </si>
  <si>
    <t xml:space="preserve">Комплект пиловиків супорта гальмівного-10шт, </t>
  </si>
  <si>
    <t>6203-01</t>
  </si>
  <si>
    <t>6203-05</t>
  </si>
  <si>
    <t xml:space="preserve">Комплект ремонтний підшипника супорта гальмівного-10шт, </t>
  </si>
  <si>
    <t>6208-07</t>
  </si>
  <si>
    <t xml:space="preserve">Комплект ремонтний механізму приводу супорта гальмівного-10шт, </t>
  </si>
  <si>
    <t>6300-05</t>
  </si>
  <si>
    <t xml:space="preserve">Комплект пиловиків супорта-10шт, </t>
  </si>
  <si>
    <t>6700-02</t>
  </si>
  <si>
    <t xml:space="preserve">Комплект ремонтний супорта гальмівного-6шт, </t>
  </si>
  <si>
    <t>6702-06</t>
  </si>
  <si>
    <t xml:space="preserve">Комплект ремонтний супорта гальмівного-10шт, </t>
  </si>
  <si>
    <t>6707-01</t>
  </si>
  <si>
    <t xml:space="preserve">Кришка супорта-4шт, </t>
  </si>
  <si>
    <t>8000-01</t>
  </si>
  <si>
    <t xml:space="preserve">Комплект пиловиків супорта-4шт, </t>
  </si>
  <si>
    <t>8000-02-S</t>
  </si>
  <si>
    <t xml:space="preserve">Комплект ремонтний поршня супорта гальмівного-50шт, </t>
  </si>
  <si>
    <t>8100-01</t>
  </si>
  <si>
    <t>8500-22</t>
  </si>
  <si>
    <t xml:space="preserve">Комплект пиловиків саморегулятора-5шт, </t>
  </si>
  <si>
    <t>4016930090</t>
  </si>
  <si>
    <t xml:space="preserve">Комплект ремонтний клапана обмеження тиску-30шт, </t>
  </si>
  <si>
    <t>2450-A</t>
  </si>
  <si>
    <t xml:space="preserve">Комплект ремонтний крана підйому кабіни-2шт, </t>
  </si>
  <si>
    <t>2501-F</t>
  </si>
  <si>
    <t xml:space="preserve">Комплект ремонтний  блока ELC-10шт, </t>
  </si>
  <si>
    <t>2554-DC</t>
  </si>
  <si>
    <t xml:space="preserve">Комплект ремонтний блоку управління АКПП-40шт, </t>
  </si>
  <si>
    <t>2554-DF</t>
  </si>
  <si>
    <t xml:space="preserve">Комплект ремонтний блоку керування АКПП-10шт, </t>
  </si>
  <si>
    <t>KA-0884</t>
  </si>
  <si>
    <t xml:space="preserve">Пиловик супорта-15шт, </t>
  </si>
  <si>
    <t>4016995290</t>
  </si>
  <si>
    <t>2163-G</t>
  </si>
  <si>
    <t xml:space="preserve">Комплект ремонтний крана підйому платформи-10шт, </t>
  </si>
  <si>
    <t>2446-C</t>
  </si>
  <si>
    <t xml:space="preserve">Комплект ремонтний клапана електромагнітного-20шт, </t>
  </si>
  <si>
    <t>2446-CK</t>
  </si>
  <si>
    <t xml:space="preserve">Комплект ремонтний клапана електромагнітного-10шт, </t>
  </si>
  <si>
    <t>2463-D</t>
  </si>
  <si>
    <t xml:space="preserve">Комплект ремонтний клапана магістрального-15шт, </t>
  </si>
  <si>
    <t>2478-CP</t>
  </si>
  <si>
    <t xml:space="preserve">Комплект ремонтний клапана прискорювального-10шт, </t>
  </si>
  <si>
    <t>7307991090</t>
  </si>
  <si>
    <t>2519-R</t>
  </si>
  <si>
    <t xml:space="preserve">Перехідник-8шт, </t>
  </si>
  <si>
    <t>7318154290</t>
  </si>
  <si>
    <t>6008-01</t>
  </si>
  <si>
    <t xml:space="preserve">Болт калібрувальний супорта гальмівного метал-50шт, </t>
  </si>
  <si>
    <t>7318159590</t>
  </si>
  <si>
    <t>6202-09</t>
  </si>
  <si>
    <t xml:space="preserve">Болт калібрувальний с штирем-5шт, </t>
  </si>
  <si>
    <t>7318169990</t>
  </si>
  <si>
    <t>6011-01</t>
  </si>
  <si>
    <t xml:space="preserve">Комплект гайок калібрувальних супорта гальмівного метал-20шт, </t>
  </si>
  <si>
    <t>8481109900</t>
  </si>
  <si>
    <t>2422-03</t>
  </si>
  <si>
    <t xml:space="preserve">Клапан регулювання тиску-2шт, </t>
  </si>
  <si>
    <t>2444-63</t>
  </si>
  <si>
    <t xml:space="preserve">Клапан обмеження тиску-2шт, </t>
  </si>
  <si>
    <t>2546-01</t>
  </si>
  <si>
    <t>8481209000</t>
  </si>
  <si>
    <t>2434-03</t>
  </si>
  <si>
    <t xml:space="preserve">Кран рівня підлоги пневматичний-10шт, </t>
  </si>
  <si>
    <t>2450-11</t>
  </si>
  <si>
    <t xml:space="preserve">Кран підйому кабіни-2шт, </t>
  </si>
  <si>
    <t>2491-62</t>
  </si>
  <si>
    <t xml:space="preserve">Клапан ECAS-2шт, </t>
  </si>
  <si>
    <t>2531-02</t>
  </si>
  <si>
    <t xml:space="preserve">Кран підйому осі-4шт, </t>
  </si>
  <si>
    <t>8481809900</t>
  </si>
  <si>
    <t>2810-64</t>
  </si>
  <si>
    <t xml:space="preserve">Вологовіддільник-3шт, </t>
  </si>
  <si>
    <t>2820-01</t>
  </si>
  <si>
    <t xml:space="preserve">Вологовіддільник системи підготовки повітря-2шт, </t>
  </si>
  <si>
    <t>2822-01</t>
  </si>
  <si>
    <t xml:space="preserve">Вологовіддільник-8шт, </t>
  </si>
  <si>
    <t>8481900000</t>
  </si>
  <si>
    <t>2454-A</t>
  </si>
  <si>
    <t xml:space="preserve">Комплект ремонтний клапана захисного-17шт, </t>
  </si>
  <si>
    <t>2472-A</t>
  </si>
  <si>
    <t xml:space="preserve">Комплект ремонтний клапана обмеження тиску-10шт, </t>
  </si>
  <si>
    <t>2491-R</t>
  </si>
  <si>
    <t xml:space="preserve">Комплект ремонтний клапана  ECAS-60шт, </t>
  </si>
  <si>
    <t>2491-RA</t>
  </si>
  <si>
    <t xml:space="preserve">Комплект ремонтний клапана  ECAS-35шт, </t>
  </si>
  <si>
    <t>2814-D</t>
  </si>
  <si>
    <t xml:space="preserve">Комплект ремонтний вологовіддільника-1шт, </t>
  </si>
  <si>
    <t>2818-BK</t>
  </si>
  <si>
    <t xml:space="preserve">Комплект ремонтний вологовіддільника-15шт, </t>
  </si>
  <si>
    <t>2819-B</t>
  </si>
  <si>
    <t xml:space="preserve">Комплект ремонтний вологовіддільника-30шт, </t>
  </si>
  <si>
    <t>2820-A</t>
  </si>
  <si>
    <t xml:space="preserve">Комплект ремонтний вологовіддільника-10шт, </t>
  </si>
  <si>
    <t>2822-C</t>
  </si>
  <si>
    <t xml:space="preserve">Комплект ремонтний вологовіддільника-20шт, </t>
  </si>
  <si>
    <t>2825-AB</t>
  </si>
  <si>
    <t>8505902910</t>
  </si>
  <si>
    <t xml:space="preserve">Клапан магнітний-30шт, </t>
  </si>
  <si>
    <t>8516808090</t>
  </si>
  <si>
    <t>2811-S</t>
  </si>
  <si>
    <t xml:space="preserve">Підігрів вологовіддільника-10шт, </t>
  </si>
  <si>
    <t>8538909900</t>
  </si>
  <si>
    <t>2554-BK</t>
  </si>
  <si>
    <t xml:space="preserve">Комплект ремонтний блоку управління АКПП-3шт, </t>
  </si>
  <si>
    <t>8708309998</t>
  </si>
  <si>
    <t xml:space="preserve">Комплект ремонтний крана гальмівного головного-10шт, </t>
  </si>
  <si>
    <t>2026-B</t>
  </si>
  <si>
    <t xml:space="preserve">Комплект ремонтний крана гальмівного-2шт, </t>
  </si>
  <si>
    <t xml:space="preserve">Комплект ремонтний модуля керування EBS-30шт, </t>
  </si>
  <si>
    <t xml:space="preserve">Комплект клапанов модуля EBS-2шт, </t>
  </si>
  <si>
    <t xml:space="preserve">Кран гальмівний головний-3шт, </t>
  </si>
  <si>
    <t xml:space="preserve">Кран стоянкових гальм пневматичний-2шт, </t>
  </si>
  <si>
    <t>2155-A</t>
  </si>
  <si>
    <t xml:space="preserve">Комплект ремонтний крана гальм стояночних-10шт, </t>
  </si>
  <si>
    <t>2161-27</t>
  </si>
  <si>
    <t xml:space="preserve">Кран гальмівний ручний-2шт, </t>
  </si>
  <si>
    <t>2161-31</t>
  </si>
  <si>
    <t xml:space="preserve">Кран стоянкових гальм-3шт, </t>
  </si>
  <si>
    <t>2401-01</t>
  </si>
  <si>
    <t xml:space="preserve">Кран причіпу гальмівний-4шт, </t>
  </si>
  <si>
    <t>2401-02</t>
  </si>
  <si>
    <t xml:space="preserve">Кран причіпу гальмівний-3шт, </t>
  </si>
  <si>
    <t>2401-FC</t>
  </si>
  <si>
    <t xml:space="preserve">Комплект ремонтний крана гальмівного-15шт, </t>
  </si>
  <si>
    <t>2441-C</t>
  </si>
  <si>
    <t xml:space="preserve">Комплект ремонтний регулятора гальмівних зусиль-15шт, </t>
  </si>
  <si>
    <t>2449-11</t>
  </si>
  <si>
    <t xml:space="preserve">Клапан розгальмовування аварійного-5шт, </t>
  </si>
  <si>
    <t>2454-17</t>
  </si>
  <si>
    <t xml:space="preserve">Клапан захисний чотирьохконтурний-2шт, </t>
  </si>
  <si>
    <t>2490-A</t>
  </si>
  <si>
    <t xml:space="preserve">Комплект ремонтний крана причіпу гальмівного-20шт, </t>
  </si>
  <si>
    <t>2490-BK</t>
  </si>
  <si>
    <t xml:space="preserve">Комплект ремонтний крана причіпу гальмівного-4шт, </t>
  </si>
  <si>
    <t>2511-AG</t>
  </si>
  <si>
    <t xml:space="preserve">Кришка EBS модулятора причіпу метал-10шт, </t>
  </si>
  <si>
    <t>2511-BK</t>
  </si>
  <si>
    <t xml:space="preserve">Комплект ремонтний модулятора ABS-30шт, </t>
  </si>
  <si>
    <t>2511-C</t>
  </si>
  <si>
    <t xml:space="preserve">Комплект ремонтний модуля керування EBS-10шт, </t>
  </si>
  <si>
    <t>2513-HA</t>
  </si>
  <si>
    <t>2519-C</t>
  </si>
  <si>
    <t xml:space="preserve">Корпус модулятора EBS-23шт, </t>
  </si>
  <si>
    <t>8708409998</t>
  </si>
  <si>
    <t>3034-02</t>
  </si>
  <si>
    <t xml:space="preserve">Циліндр КПШ-2шт, </t>
  </si>
  <si>
    <t>8708939098</t>
  </si>
  <si>
    <t>3010-36</t>
  </si>
  <si>
    <t xml:space="preserve">Пневмогідропідсилювач зчеплення-2шт, </t>
  </si>
  <si>
    <t>3010-PF</t>
  </si>
  <si>
    <t xml:space="preserve">Комплект ремонтний пневмогідропідсилювача-10шт, </t>
  </si>
  <si>
    <t>3010-R</t>
  </si>
  <si>
    <t>3021-10</t>
  </si>
  <si>
    <t xml:space="preserve">Пневмогідропідсилювач зчеплення-3шт, </t>
  </si>
  <si>
    <t>3031-D</t>
  </si>
  <si>
    <t xml:space="preserve">Комплект ремонтний ПГП-10шт, </t>
  </si>
  <si>
    <t>3032-29</t>
  </si>
  <si>
    <t xml:space="preserve">Циліндр зчеплення-2шт, </t>
  </si>
  <si>
    <t>3039-01</t>
  </si>
  <si>
    <t xml:space="preserve">Циліндр зчеплення-6шт, </t>
  </si>
  <si>
    <t>9026202000</t>
  </si>
  <si>
    <t>BS-0010</t>
  </si>
  <si>
    <t xml:space="preserve">Датчик тиску-4шт, </t>
  </si>
  <si>
    <t>BS-0018</t>
  </si>
  <si>
    <t xml:space="preserve">Датчик тиску-5шт, </t>
  </si>
  <si>
    <t>BS-0028</t>
  </si>
  <si>
    <t xml:space="preserve">Датчик тиску-20шт, </t>
  </si>
  <si>
    <t>9026208000</t>
  </si>
  <si>
    <t>BS-0013</t>
  </si>
  <si>
    <t xml:space="preserve">Датчик тиску-15шт, </t>
  </si>
  <si>
    <t>2444-A</t>
  </si>
  <si>
    <t>2820-G</t>
  </si>
  <si>
    <t>2820-GK</t>
  </si>
  <si>
    <t>ES-015-04</t>
  </si>
  <si>
    <t>2003-a</t>
  </si>
  <si>
    <t>2003-D</t>
  </si>
  <si>
    <t>2003-L</t>
  </si>
  <si>
    <t>2027-EK</t>
  </si>
  <si>
    <t>2027-GB</t>
  </si>
  <si>
    <t>2028-07</t>
  </si>
  <si>
    <t>2153-18</t>
  </si>
  <si>
    <t>GO-1394</t>
  </si>
  <si>
    <t>2003-A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</si>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</sst>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2" fillId="0" borderId="3" xfId="1" applyFont="1" applyBorder="1"/>
    <xf numFmtId="0" fontId="0" fillId="3" borderId="0" xfId="0" applyFill="1"/>
    <xf numFmtId="0" fontId="5" fillId="4" borderId="4" xfId="2" applyNumberFormat="1" applyFont="1" applyFill="1" applyBorder="1" applyAlignment="1">
      <alignment horizontal="left" vertical="top"/>
    </xf>
    <xf numFmtId="4" fontId="6" fillId="4" borderId="4" xfId="2" applyNumberFormat="1" applyFont="1" applyFill="1" applyBorder="1" applyAlignment="1">
      <alignment horizontal="right" vertical="top"/>
    </xf>
    <xf numFmtId="0" fontId="6" fillId="4" borderId="4" xfId="2" applyNumberFormat="1" applyFont="1" applyFill="1" applyBorder="1" applyAlignment="1">
      <alignment horizontal="left" vertical="top"/>
    </xf>
    <xf numFmtId="2" fontId="6" fillId="4" borderId="4" xfId="2" applyNumberFormat="1" applyFont="1" applyFill="1" applyBorder="1" applyAlignment="1">
      <alignment horizontal="right" vertical="top"/>
    </xf>
    <xf numFmtId="4" fontId="0" fillId="0" borderId="0" xfId="0" applyNumberFormat="1"/>
  </cellXfs>
  <cellStyles count="3">
    <cellStyle name="Normal" xfId="1" xr:uid="{00000000-0005-0000-0000-000000000000}"/>
    <cellStyle name="Обычный" xfId="0" builtinId="0"/>
    <cellStyle name="Обычный_Sheet1" xfId="2" xr:uid="{FEF178B8-7074-4286-ADB4-14A68C262626}"/>
  </cellStyles>
  <dxfs count="1">
    <dxf>
      <fill>
        <patternFill patternType="solid">
          <fgColor rgb="FFCCFFCC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51"/>
  <sheetViews>
    <sheetView tabSelected="1" topLeftCell="A118" workbookViewId="0">
      <selection activeCell="F151" sqref="F151:L151"/>
    </sheetView>
  </sheetViews>
  <sheetFormatPr defaultRowHeight="13.8" x14ac:dyDescent="0.3"/>
  <cols>
    <col min="1" max="1" width="11.6640625" customWidth="1"/>
    <col min="2" max="3" width="15.6640625" customWidth="1"/>
    <col min="4" max="4" width="60" bestFit="1" customWidth="1"/>
    <col min="5" max="7" width="11.33203125" customWidth="1"/>
    <col min="8" max="12" width="11.6640625" customWidth="1"/>
    <col min="13" max="13" width="3.88671875" customWidth="1"/>
  </cols>
  <sheetData>
    <row r="2" spans="1:13" ht="20.399999999999999" x14ac:dyDescent="0.35">
      <c r="A2" s="1" t="s">
        <v>0</v>
      </c>
    </row>
    <row r="4" spans="1:13" ht="27.6" x14ac:dyDescent="0.3">
      <c r="A4" s="3" t="s">
        <v>1</v>
      </c>
      <c r="B4" s="3" t="s">
        <v>2</v>
      </c>
      <c r="C4" s="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12</v>
      </c>
      <c r="M4" s="3" t="s">
        <v>11</v>
      </c>
    </row>
    <row r="5" spans="1:13" x14ac:dyDescent="0.3">
      <c r="A5" s="4" t="s">
        <v>13</v>
      </c>
      <c r="B5" s="2" t="s">
        <v>14</v>
      </c>
      <c r="C5" s="2" t="s">
        <v>14</v>
      </c>
      <c r="D5" s="2" t="s">
        <v>15</v>
      </c>
      <c r="E5" s="2">
        <v>15.48</v>
      </c>
      <c r="F5" s="2">
        <v>14.6</v>
      </c>
      <c r="G5" s="2">
        <v>4.5999999999999996</v>
      </c>
      <c r="H5" s="2">
        <v>20</v>
      </c>
      <c r="I5" s="2">
        <v>92</v>
      </c>
      <c r="J5" s="2">
        <v>4793.21</v>
      </c>
      <c r="K5" s="2">
        <v>479.32</v>
      </c>
      <c r="L5" s="2">
        <v>1054.51</v>
      </c>
      <c r="M5" s="2">
        <v>10</v>
      </c>
    </row>
    <row r="6" spans="1:13" x14ac:dyDescent="0.3">
      <c r="A6" s="4" t="s">
        <v>13</v>
      </c>
      <c r="B6" s="2" t="s">
        <v>16</v>
      </c>
      <c r="C6" s="2" t="s">
        <v>16</v>
      </c>
      <c r="D6" s="2" t="s">
        <v>17</v>
      </c>
      <c r="E6" s="2">
        <v>12.177</v>
      </c>
      <c r="F6" s="2">
        <v>11.475</v>
      </c>
      <c r="G6" s="2">
        <v>4.3</v>
      </c>
      <c r="H6" s="2">
        <v>27</v>
      </c>
      <c r="I6" s="2">
        <v>116.1</v>
      </c>
      <c r="J6" s="2">
        <v>6003.32</v>
      </c>
      <c r="K6" s="2">
        <v>600.33000000000004</v>
      </c>
      <c r="L6" s="2">
        <v>1320.73</v>
      </c>
      <c r="M6" s="2">
        <v>10</v>
      </c>
    </row>
    <row r="7" spans="1:13" x14ac:dyDescent="0.3">
      <c r="A7" s="4" t="s">
        <v>13</v>
      </c>
      <c r="B7" s="2" t="s">
        <v>18</v>
      </c>
      <c r="C7" s="2" t="s">
        <v>18</v>
      </c>
      <c r="D7" s="2" t="s">
        <v>19</v>
      </c>
      <c r="E7" s="2">
        <v>41.68</v>
      </c>
      <c r="F7" s="2">
        <v>39.299999999999997</v>
      </c>
      <c r="G7" s="2">
        <v>11.6</v>
      </c>
      <c r="H7" s="2">
        <v>20</v>
      </c>
      <c r="I7" s="2">
        <v>232</v>
      </c>
      <c r="J7" s="2">
        <v>12103.57</v>
      </c>
      <c r="K7" s="2">
        <v>1210.3599999999999</v>
      </c>
      <c r="L7" s="2">
        <v>2662.79</v>
      </c>
      <c r="M7" s="2">
        <v>10</v>
      </c>
    </row>
    <row r="8" spans="1:13" x14ac:dyDescent="0.3">
      <c r="A8" s="4" t="s">
        <v>13</v>
      </c>
      <c r="B8" s="2" t="s">
        <v>20</v>
      </c>
      <c r="C8" s="2" t="s">
        <v>20</v>
      </c>
      <c r="D8" s="2" t="s">
        <v>21</v>
      </c>
      <c r="E8" s="2">
        <v>16.39</v>
      </c>
      <c r="F8" s="2">
        <v>15.45</v>
      </c>
      <c r="G8" s="2">
        <v>11.6</v>
      </c>
      <c r="H8" s="2">
        <v>10</v>
      </c>
      <c r="I8" s="2">
        <v>116</v>
      </c>
      <c r="J8" s="2">
        <v>6024.26</v>
      </c>
      <c r="K8" s="2">
        <v>602.42999999999995</v>
      </c>
      <c r="L8" s="2">
        <v>1325.34</v>
      </c>
      <c r="M8" s="2">
        <v>10</v>
      </c>
    </row>
    <row r="9" spans="1:13" x14ac:dyDescent="0.3">
      <c r="A9" s="4" t="s">
        <v>13</v>
      </c>
      <c r="B9" s="2" t="s">
        <v>22</v>
      </c>
      <c r="C9" s="2" t="s">
        <v>22</v>
      </c>
      <c r="D9" s="2" t="s">
        <v>19</v>
      </c>
      <c r="E9" s="2">
        <v>13.04</v>
      </c>
      <c r="F9" s="2">
        <v>12.3</v>
      </c>
      <c r="G9" s="2">
        <v>3.4</v>
      </c>
      <c r="H9" s="2">
        <v>20</v>
      </c>
      <c r="I9" s="2">
        <v>68</v>
      </c>
      <c r="J9" s="2">
        <v>3552.69</v>
      </c>
      <c r="K9" s="2">
        <v>355.27</v>
      </c>
      <c r="L9" s="2">
        <v>781.59</v>
      </c>
      <c r="M9" s="2">
        <v>10</v>
      </c>
    </row>
    <row r="10" spans="1:13" x14ac:dyDescent="0.3">
      <c r="A10" s="4" t="s">
        <v>13</v>
      </c>
      <c r="B10" s="2" t="s">
        <v>23</v>
      </c>
      <c r="C10" s="2" t="s">
        <v>23</v>
      </c>
      <c r="D10" s="2" t="s">
        <v>24</v>
      </c>
      <c r="E10" s="2">
        <v>36.24</v>
      </c>
      <c r="F10" s="2">
        <v>34.159999999999997</v>
      </c>
      <c r="G10" s="2">
        <v>3.7</v>
      </c>
      <c r="H10" s="2">
        <v>80</v>
      </c>
      <c r="I10" s="2">
        <v>296</v>
      </c>
      <c r="J10" s="2">
        <v>15337.73</v>
      </c>
      <c r="K10" s="2">
        <v>1533.77</v>
      </c>
      <c r="L10" s="2">
        <v>3374.3</v>
      </c>
      <c r="M10" s="2">
        <v>10</v>
      </c>
    </row>
    <row r="11" spans="1:13" x14ac:dyDescent="0.3">
      <c r="A11" s="4" t="s">
        <v>13</v>
      </c>
      <c r="B11" s="2" t="s">
        <v>25</v>
      </c>
      <c r="C11" s="2" t="s">
        <v>25</v>
      </c>
      <c r="D11" s="2" t="s">
        <v>26</v>
      </c>
      <c r="E11" s="2">
        <v>13.35</v>
      </c>
      <c r="F11" s="2">
        <v>12.6</v>
      </c>
      <c r="G11" s="2">
        <v>3.7</v>
      </c>
      <c r="H11" s="2">
        <v>30</v>
      </c>
      <c r="I11" s="2">
        <v>111</v>
      </c>
      <c r="J11" s="2">
        <v>5750.17</v>
      </c>
      <c r="K11" s="2">
        <v>575.02</v>
      </c>
      <c r="L11" s="2">
        <v>1265.04</v>
      </c>
      <c r="M11" s="2">
        <v>10</v>
      </c>
    </row>
    <row r="12" spans="1:13" x14ac:dyDescent="0.3">
      <c r="A12" s="4" t="s">
        <v>13</v>
      </c>
      <c r="B12" s="2" t="s">
        <v>27</v>
      </c>
      <c r="C12" s="2" t="s">
        <v>27</v>
      </c>
      <c r="D12" s="2" t="s">
        <v>28</v>
      </c>
      <c r="E12" s="2">
        <v>67.650000000000006</v>
      </c>
      <c r="F12" s="2">
        <v>63.75</v>
      </c>
      <c r="G12" s="2">
        <v>3.1</v>
      </c>
      <c r="H12" s="2">
        <v>150</v>
      </c>
      <c r="I12" s="2">
        <v>465</v>
      </c>
      <c r="J12" s="2">
        <v>24161.040000000001</v>
      </c>
      <c r="K12" s="2">
        <v>2416.1</v>
      </c>
      <c r="L12" s="2">
        <v>5315.43</v>
      </c>
      <c r="M12" s="2">
        <v>10</v>
      </c>
    </row>
    <row r="13" spans="1:13" x14ac:dyDescent="0.3">
      <c r="A13" s="4" t="s">
        <v>13</v>
      </c>
      <c r="B13" s="2" t="s">
        <v>29</v>
      </c>
      <c r="C13" s="2" t="s">
        <v>29</v>
      </c>
      <c r="D13" s="2" t="s">
        <v>30</v>
      </c>
      <c r="E13" s="2">
        <v>32.200000000000003</v>
      </c>
      <c r="F13" s="2">
        <v>30.4</v>
      </c>
      <c r="G13" s="2">
        <v>0.9</v>
      </c>
      <c r="H13" s="2">
        <v>200</v>
      </c>
      <c r="I13" s="2">
        <v>180</v>
      </c>
      <c r="J13" s="2">
        <v>9389.85</v>
      </c>
      <c r="K13" s="2">
        <v>938.99</v>
      </c>
      <c r="L13" s="2">
        <v>2065.77</v>
      </c>
      <c r="M13" s="2">
        <v>10</v>
      </c>
    </row>
    <row r="14" spans="1:13" x14ac:dyDescent="0.3">
      <c r="A14" s="4" t="s">
        <v>13</v>
      </c>
      <c r="B14" s="2" t="s">
        <v>31</v>
      </c>
      <c r="C14" s="2" t="s">
        <v>31</v>
      </c>
      <c r="D14" s="2" t="s">
        <v>32</v>
      </c>
      <c r="E14" s="2">
        <v>16.821999999999999</v>
      </c>
      <c r="F14" s="2">
        <v>15.86</v>
      </c>
      <c r="G14" s="2">
        <v>6.15</v>
      </c>
      <c r="H14" s="2">
        <v>26</v>
      </c>
      <c r="I14" s="2">
        <v>159.9</v>
      </c>
      <c r="J14" s="2">
        <v>8268.4500000000007</v>
      </c>
      <c r="K14" s="2">
        <v>826.85</v>
      </c>
      <c r="L14" s="2">
        <v>1819.06</v>
      </c>
      <c r="M14" s="2">
        <v>10</v>
      </c>
    </row>
    <row r="15" spans="1:13" x14ac:dyDescent="0.3">
      <c r="A15" s="4" t="s">
        <v>13</v>
      </c>
      <c r="B15" s="2" t="s">
        <v>33</v>
      </c>
      <c r="C15" s="2" t="s">
        <v>33</v>
      </c>
      <c r="D15" s="2" t="s">
        <v>34</v>
      </c>
      <c r="E15" s="2">
        <v>8.86</v>
      </c>
      <c r="F15" s="2">
        <v>8.35</v>
      </c>
      <c r="G15" s="2">
        <v>14.6</v>
      </c>
      <c r="H15" s="2">
        <v>5</v>
      </c>
      <c r="I15" s="2">
        <v>73</v>
      </c>
      <c r="J15" s="2">
        <v>3782.14</v>
      </c>
      <c r="K15" s="2">
        <v>378.21</v>
      </c>
      <c r="L15" s="2">
        <v>832.07</v>
      </c>
      <c r="M15" s="2">
        <v>10</v>
      </c>
    </row>
    <row r="16" spans="1:13" x14ac:dyDescent="0.3">
      <c r="A16" s="4" t="s">
        <v>13</v>
      </c>
      <c r="B16" s="2" t="s">
        <v>35</v>
      </c>
      <c r="C16" s="2" t="s">
        <v>35</v>
      </c>
      <c r="D16" s="2" t="s">
        <v>36</v>
      </c>
      <c r="E16" s="2">
        <v>41.924999999999997</v>
      </c>
      <c r="F16" s="2">
        <v>39.524999999999999</v>
      </c>
      <c r="G16" s="2">
        <v>12.4</v>
      </c>
      <c r="H16" s="2">
        <v>25</v>
      </c>
      <c r="I16" s="2">
        <v>310</v>
      </c>
      <c r="J16" s="2">
        <v>16087.72</v>
      </c>
      <c r="K16" s="2">
        <v>1608.77</v>
      </c>
      <c r="L16" s="2">
        <v>3539.3</v>
      </c>
      <c r="M16" s="2">
        <v>10</v>
      </c>
    </row>
    <row r="17" spans="1:13" x14ac:dyDescent="0.3">
      <c r="A17" s="4" t="s">
        <v>13</v>
      </c>
      <c r="B17" s="2" t="s">
        <v>37</v>
      </c>
      <c r="C17" s="2" t="s">
        <v>37</v>
      </c>
      <c r="D17" s="2" t="s">
        <v>38</v>
      </c>
      <c r="E17" s="2">
        <v>9.8339999999999996</v>
      </c>
      <c r="F17" s="2">
        <v>9.27</v>
      </c>
      <c r="G17" s="2">
        <v>11.8</v>
      </c>
      <c r="H17" s="2">
        <v>6</v>
      </c>
      <c r="I17" s="2">
        <v>70.8</v>
      </c>
      <c r="J17" s="2">
        <v>3675.83</v>
      </c>
      <c r="K17" s="2">
        <v>367.58</v>
      </c>
      <c r="L17" s="2">
        <v>808.68</v>
      </c>
      <c r="M17" s="2">
        <v>10</v>
      </c>
    </row>
    <row r="18" spans="1:13" x14ac:dyDescent="0.3">
      <c r="A18" s="4" t="s">
        <v>13</v>
      </c>
      <c r="B18" s="2" t="s">
        <v>39</v>
      </c>
      <c r="C18" s="2" t="s">
        <v>39</v>
      </c>
      <c r="D18" s="2" t="s">
        <v>40</v>
      </c>
      <c r="E18" s="2">
        <v>7.74</v>
      </c>
      <c r="F18" s="2">
        <v>7.3</v>
      </c>
      <c r="G18" s="2">
        <v>15.3</v>
      </c>
      <c r="H18" s="2">
        <v>20</v>
      </c>
      <c r="I18" s="2">
        <v>306</v>
      </c>
      <c r="J18" s="2">
        <v>15672.07</v>
      </c>
      <c r="K18" s="2">
        <v>1567.21</v>
      </c>
      <c r="L18" s="2">
        <v>3447.86</v>
      </c>
      <c r="M18" s="2">
        <v>10</v>
      </c>
    </row>
    <row r="19" spans="1:13" x14ac:dyDescent="0.3">
      <c r="A19" s="4" t="s">
        <v>13</v>
      </c>
      <c r="B19" s="2" t="s">
        <v>41</v>
      </c>
      <c r="C19" s="2" t="s">
        <v>41</v>
      </c>
      <c r="D19" s="2" t="s">
        <v>42</v>
      </c>
      <c r="E19" s="2">
        <v>50.48</v>
      </c>
      <c r="F19" s="2">
        <v>47.6</v>
      </c>
      <c r="G19" s="2">
        <v>11.5</v>
      </c>
      <c r="H19" s="2">
        <v>80</v>
      </c>
      <c r="I19" s="2">
        <v>920</v>
      </c>
      <c r="J19" s="2">
        <v>47286.93</v>
      </c>
      <c r="K19" s="5">
        <f>SUM(4728.69,-0.01)</f>
        <v>4728.6799999999994</v>
      </c>
      <c r="L19" s="5">
        <f>SUM(10403.12,-0.03)</f>
        <v>10403.09</v>
      </c>
      <c r="M19" s="2">
        <v>10</v>
      </c>
    </row>
    <row r="20" spans="1:13" x14ac:dyDescent="0.3">
      <c r="A20" s="4" t="s">
        <v>13</v>
      </c>
      <c r="B20" s="2" t="s">
        <v>43</v>
      </c>
      <c r="C20" s="2" t="s">
        <v>43</v>
      </c>
      <c r="D20" s="2" t="s">
        <v>44</v>
      </c>
      <c r="E20" s="2">
        <v>9.92</v>
      </c>
      <c r="F20" s="2">
        <v>9.35</v>
      </c>
      <c r="G20" s="2">
        <v>8.1</v>
      </c>
      <c r="H20" s="2">
        <v>5</v>
      </c>
      <c r="I20" s="2">
        <v>40.5</v>
      </c>
      <c r="J20" s="2">
        <v>2129.2600000000002</v>
      </c>
      <c r="K20" s="2">
        <v>212.93</v>
      </c>
      <c r="L20" s="2">
        <v>468.44</v>
      </c>
      <c r="M20" s="2">
        <v>10</v>
      </c>
    </row>
    <row r="21" spans="1:13" x14ac:dyDescent="0.3">
      <c r="A21" s="4" t="s">
        <v>13</v>
      </c>
      <c r="B21" s="2" t="s">
        <v>45</v>
      </c>
      <c r="C21" s="2" t="s">
        <v>45</v>
      </c>
      <c r="D21" s="2" t="s">
        <v>46</v>
      </c>
      <c r="E21" s="2">
        <v>25.67</v>
      </c>
      <c r="F21" s="2">
        <v>24.2</v>
      </c>
      <c r="G21" s="2">
        <v>11.7</v>
      </c>
      <c r="H21" s="2">
        <v>10</v>
      </c>
      <c r="I21" s="2">
        <v>117</v>
      </c>
      <c r="J21" s="2">
        <v>6132.71</v>
      </c>
      <c r="K21" s="2">
        <v>613.27</v>
      </c>
      <c r="L21" s="2">
        <v>1349.2</v>
      </c>
      <c r="M21" s="2">
        <v>10</v>
      </c>
    </row>
    <row r="22" spans="1:13" x14ac:dyDescent="0.3">
      <c r="A22" s="4" t="s">
        <v>13</v>
      </c>
      <c r="B22" s="2" t="s">
        <v>47</v>
      </c>
      <c r="C22" s="2" t="s">
        <v>47</v>
      </c>
      <c r="D22" s="2" t="s">
        <v>48</v>
      </c>
      <c r="E22" s="2">
        <v>34</v>
      </c>
      <c r="F22" s="2">
        <v>32</v>
      </c>
      <c r="G22" s="2">
        <v>2.1</v>
      </c>
      <c r="H22" s="2">
        <v>200</v>
      </c>
      <c r="I22" s="2">
        <v>420</v>
      </c>
      <c r="J22" s="2">
        <v>21655.26</v>
      </c>
      <c r="K22" s="2">
        <v>2165.5300000000002</v>
      </c>
      <c r="L22" s="2">
        <v>4764.16</v>
      </c>
      <c r="M22" s="2">
        <v>10</v>
      </c>
    </row>
    <row r="23" spans="1:13" x14ac:dyDescent="0.3">
      <c r="A23" s="4" t="s">
        <v>13</v>
      </c>
      <c r="B23" s="2" t="s">
        <v>49</v>
      </c>
      <c r="C23" s="2" t="s">
        <v>49</v>
      </c>
      <c r="D23" s="2" t="s">
        <v>50</v>
      </c>
      <c r="E23" s="2">
        <v>3.66</v>
      </c>
      <c r="F23" s="2">
        <v>3.45</v>
      </c>
      <c r="G23" s="2">
        <v>1.9</v>
      </c>
      <c r="H23" s="2">
        <v>30</v>
      </c>
      <c r="I23" s="2">
        <v>57</v>
      </c>
      <c r="J23" s="2">
        <v>2933.03</v>
      </c>
      <c r="K23" s="2">
        <v>293.3</v>
      </c>
      <c r="L23" s="2">
        <v>645.27</v>
      </c>
      <c r="M23" s="2">
        <v>10</v>
      </c>
    </row>
    <row r="24" spans="1:13" x14ac:dyDescent="0.3">
      <c r="A24" s="4" t="s">
        <v>13</v>
      </c>
      <c r="B24" s="2" t="s">
        <v>51</v>
      </c>
      <c r="C24" s="2" t="s">
        <v>51</v>
      </c>
      <c r="D24" s="2" t="s">
        <v>52</v>
      </c>
      <c r="E24" s="2">
        <v>3.18</v>
      </c>
      <c r="F24" s="2">
        <v>3</v>
      </c>
      <c r="G24" s="2">
        <v>2.4</v>
      </c>
      <c r="H24" s="2">
        <v>20</v>
      </c>
      <c r="I24" s="2">
        <v>48</v>
      </c>
      <c r="J24" s="2">
        <v>2470.52</v>
      </c>
      <c r="K24" s="2">
        <v>247.05</v>
      </c>
      <c r="L24" s="2">
        <v>543.51</v>
      </c>
      <c r="M24" s="2">
        <v>10</v>
      </c>
    </row>
    <row r="25" spans="1:13" x14ac:dyDescent="0.3">
      <c r="A25" s="4" t="s">
        <v>13</v>
      </c>
      <c r="B25" s="2" t="s">
        <v>53</v>
      </c>
      <c r="C25" s="2" t="s">
        <v>53</v>
      </c>
      <c r="D25" s="2" t="s">
        <v>54</v>
      </c>
      <c r="E25" s="2">
        <v>6.8</v>
      </c>
      <c r="F25" s="2">
        <v>6.4</v>
      </c>
      <c r="G25" s="2">
        <v>3.1</v>
      </c>
      <c r="H25" s="2">
        <v>40</v>
      </c>
      <c r="I25" s="2">
        <v>124</v>
      </c>
      <c r="J25" s="2">
        <v>6373.43</v>
      </c>
      <c r="K25" s="2">
        <v>637.34</v>
      </c>
      <c r="L25" s="2">
        <v>1402.15</v>
      </c>
      <c r="M25" s="2">
        <v>10</v>
      </c>
    </row>
    <row r="26" spans="1:13" x14ac:dyDescent="0.3">
      <c r="A26" s="4" t="s">
        <v>13</v>
      </c>
      <c r="B26" s="2" t="s">
        <v>55</v>
      </c>
      <c r="C26" s="2" t="s">
        <v>55</v>
      </c>
      <c r="D26" s="2" t="s">
        <v>56</v>
      </c>
      <c r="E26" s="2">
        <v>1.86</v>
      </c>
      <c r="F26" s="2">
        <v>1.75</v>
      </c>
      <c r="G26" s="2">
        <v>8.9</v>
      </c>
      <c r="H26" s="2">
        <v>10</v>
      </c>
      <c r="I26" s="2">
        <v>89</v>
      </c>
      <c r="J26" s="2">
        <v>4555.8</v>
      </c>
      <c r="K26" s="2">
        <v>455.58</v>
      </c>
      <c r="L26" s="2">
        <v>1002.28</v>
      </c>
      <c r="M26" s="2">
        <v>10</v>
      </c>
    </row>
    <row r="27" spans="1:13" x14ac:dyDescent="0.3">
      <c r="A27" s="4" t="s">
        <v>13</v>
      </c>
      <c r="B27" s="2" t="s">
        <v>57</v>
      </c>
      <c r="C27" s="2" t="s">
        <v>57</v>
      </c>
      <c r="D27" s="2" t="s">
        <v>58</v>
      </c>
      <c r="E27" s="2">
        <v>8.8000000000000007</v>
      </c>
      <c r="F27" s="2">
        <v>8.3000000000000007</v>
      </c>
      <c r="G27" s="2">
        <v>8.3000000000000007</v>
      </c>
      <c r="H27" s="2">
        <v>10</v>
      </c>
      <c r="I27" s="2">
        <v>83</v>
      </c>
      <c r="J27" s="2">
        <v>4292.3599999999997</v>
      </c>
      <c r="K27" s="2">
        <v>429.24</v>
      </c>
      <c r="L27" s="2">
        <v>944.32</v>
      </c>
      <c r="M27" s="2">
        <v>10</v>
      </c>
    </row>
    <row r="28" spans="1:13" x14ac:dyDescent="0.3">
      <c r="A28" s="4" t="s">
        <v>13</v>
      </c>
      <c r="B28" s="2" t="s">
        <v>59</v>
      </c>
      <c r="C28" s="2" t="s">
        <v>59</v>
      </c>
      <c r="D28" s="2" t="s">
        <v>60</v>
      </c>
      <c r="E28" s="2">
        <v>14.324999999999999</v>
      </c>
      <c r="F28" s="2">
        <v>13.5</v>
      </c>
      <c r="G28" s="2">
        <v>8.8000000000000007</v>
      </c>
      <c r="H28" s="2">
        <v>15</v>
      </c>
      <c r="I28" s="2">
        <v>132</v>
      </c>
      <c r="J28" s="2">
        <v>6828.45</v>
      </c>
      <c r="K28" s="2">
        <v>682.85</v>
      </c>
      <c r="L28" s="2">
        <v>1502.26</v>
      </c>
      <c r="M28" s="2">
        <v>10</v>
      </c>
    </row>
    <row r="29" spans="1:13" x14ac:dyDescent="0.3">
      <c r="A29" s="4" t="s">
        <v>13</v>
      </c>
      <c r="B29" s="2" t="s">
        <v>61</v>
      </c>
      <c r="C29" s="2" t="s">
        <v>61</v>
      </c>
      <c r="D29" s="2" t="s">
        <v>62</v>
      </c>
      <c r="E29" s="2">
        <v>22.82</v>
      </c>
      <c r="F29" s="2">
        <v>21.52</v>
      </c>
      <c r="G29" s="2">
        <v>10.3</v>
      </c>
      <c r="H29" s="2">
        <v>20</v>
      </c>
      <c r="I29" s="2">
        <v>206</v>
      </c>
      <c r="J29" s="2">
        <v>10659.38</v>
      </c>
      <c r="K29" s="2">
        <v>1065.94</v>
      </c>
      <c r="L29" s="2">
        <v>2345.06</v>
      </c>
      <c r="M29" s="2">
        <v>10</v>
      </c>
    </row>
    <row r="30" spans="1:13" x14ac:dyDescent="0.3">
      <c r="A30" s="4" t="s">
        <v>13</v>
      </c>
      <c r="B30" s="2" t="s">
        <v>63</v>
      </c>
      <c r="C30" s="2" t="s">
        <v>63</v>
      </c>
      <c r="D30" s="2" t="s">
        <v>62</v>
      </c>
      <c r="E30" s="2">
        <v>22.7</v>
      </c>
      <c r="F30" s="2">
        <v>21.4</v>
      </c>
      <c r="G30" s="2">
        <v>10.199999999999999</v>
      </c>
      <c r="H30" s="2">
        <v>20</v>
      </c>
      <c r="I30" s="2">
        <v>204</v>
      </c>
      <c r="J30" s="2">
        <v>10556.52</v>
      </c>
      <c r="K30" s="2">
        <v>1055.6500000000001</v>
      </c>
      <c r="L30" s="2">
        <v>2322.4299999999998</v>
      </c>
      <c r="M30" s="2">
        <v>10</v>
      </c>
    </row>
    <row r="31" spans="1:13" x14ac:dyDescent="0.3">
      <c r="A31" s="6" t="s">
        <v>13</v>
      </c>
      <c r="B31" s="7" t="s">
        <v>64</v>
      </c>
      <c r="C31" s="2" t="s">
        <v>64</v>
      </c>
      <c r="D31" s="7" t="s">
        <v>65</v>
      </c>
      <c r="E31" s="7">
        <v>4.1040000000000001</v>
      </c>
      <c r="F31" s="7">
        <v>3.87</v>
      </c>
      <c r="G31" s="7">
        <v>2.7</v>
      </c>
      <c r="H31" s="7">
        <v>9</v>
      </c>
      <c r="I31" s="7">
        <v>24.3</v>
      </c>
      <c r="J31" s="7">
        <v>1266.1300000000001</v>
      </c>
      <c r="K31" s="7">
        <v>126.61</v>
      </c>
      <c r="L31" s="7">
        <v>278.55</v>
      </c>
      <c r="M31" s="2">
        <v>10</v>
      </c>
    </row>
    <row r="32" spans="1:13" x14ac:dyDescent="0.3">
      <c r="A32" s="4" t="s">
        <v>13</v>
      </c>
      <c r="B32" s="2" t="s">
        <v>66</v>
      </c>
      <c r="C32" s="2" t="s">
        <v>66</v>
      </c>
      <c r="D32" s="2" t="s">
        <v>67</v>
      </c>
      <c r="E32" s="2">
        <v>4.99</v>
      </c>
      <c r="F32" s="2">
        <v>4.7</v>
      </c>
      <c r="G32" s="2">
        <v>3</v>
      </c>
      <c r="H32" s="2">
        <v>10</v>
      </c>
      <c r="I32" s="2">
        <v>30</v>
      </c>
      <c r="J32" s="2">
        <v>1562.65</v>
      </c>
      <c r="K32" s="2">
        <v>156.27000000000001</v>
      </c>
      <c r="L32" s="2">
        <v>343.78</v>
      </c>
      <c r="M32" s="2">
        <v>10</v>
      </c>
    </row>
    <row r="33" spans="1:13" x14ac:dyDescent="0.3">
      <c r="A33" s="4" t="s">
        <v>13</v>
      </c>
      <c r="B33" s="2" t="s">
        <v>68</v>
      </c>
      <c r="C33" s="2" t="s">
        <v>68</v>
      </c>
      <c r="D33" s="2" t="s">
        <v>69</v>
      </c>
      <c r="E33" s="2">
        <v>1.9</v>
      </c>
      <c r="F33" s="2">
        <v>1.8</v>
      </c>
      <c r="G33" s="2">
        <v>1.8</v>
      </c>
      <c r="H33" s="2">
        <v>20</v>
      </c>
      <c r="I33" s="2">
        <v>36</v>
      </c>
      <c r="J33" s="2">
        <v>1849.89</v>
      </c>
      <c r="K33" s="2">
        <v>184.99</v>
      </c>
      <c r="L33" s="2">
        <v>406.98</v>
      </c>
      <c r="M33" s="2">
        <v>10</v>
      </c>
    </row>
    <row r="34" spans="1:13" x14ac:dyDescent="0.3">
      <c r="A34" s="4" t="s">
        <v>13</v>
      </c>
      <c r="B34" s="2" t="s">
        <v>70</v>
      </c>
      <c r="C34" s="2" t="s">
        <v>70</v>
      </c>
      <c r="D34" s="2" t="s">
        <v>71</v>
      </c>
      <c r="E34" s="2">
        <v>0.45600000000000002</v>
      </c>
      <c r="F34" s="2">
        <v>0.43</v>
      </c>
      <c r="G34" s="2">
        <v>9.1</v>
      </c>
      <c r="H34" s="2">
        <v>2</v>
      </c>
      <c r="I34" s="2">
        <v>18.2</v>
      </c>
      <c r="J34" s="2">
        <v>932.1</v>
      </c>
      <c r="K34" s="2">
        <v>93.21</v>
      </c>
      <c r="L34" s="2">
        <v>205.06</v>
      </c>
      <c r="M34" s="2">
        <v>10</v>
      </c>
    </row>
    <row r="35" spans="1:13" x14ac:dyDescent="0.3">
      <c r="A35" s="4" t="s">
        <v>13</v>
      </c>
      <c r="B35" s="2" t="s">
        <v>72</v>
      </c>
      <c r="C35" s="2" t="s">
        <v>72</v>
      </c>
      <c r="D35" s="2" t="s">
        <v>73</v>
      </c>
      <c r="E35" s="2">
        <v>1.1399999999999999</v>
      </c>
      <c r="F35" s="2">
        <v>1.075</v>
      </c>
      <c r="G35" s="2">
        <v>5.6</v>
      </c>
      <c r="H35" s="2">
        <v>5</v>
      </c>
      <c r="I35" s="2">
        <v>28</v>
      </c>
      <c r="J35" s="2">
        <v>1436.72</v>
      </c>
      <c r="K35" s="2">
        <v>143.66999999999999</v>
      </c>
      <c r="L35" s="2">
        <v>316.08</v>
      </c>
      <c r="M35" s="2">
        <v>10</v>
      </c>
    </row>
    <row r="36" spans="1:13" x14ac:dyDescent="0.3">
      <c r="A36" s="4" t="s">
        <v>13</v>
      </c>
      <c r="B36" s="2" t="s">
        <v>74</v>
      </c>
      <c r="C36" s="2" t="s">
        <v>74</v>
      </c>
      <c r="D36" s="2" t="s">
        <v>75</v>
      </c>
      <c r="E36" s="2">
        <v>5.8360000000000003</v>
      </c>
      <c r="F36" s="2">
        <v>5.5</v>
      </c>
      <c r="G36" s="2">
        <v>15.2</v>
      </c>
      <c r="H36" s="2">
        <v>4</v>
      </c>
      <c r="I36" s="2">
        <v>60.8</v>
      </c>
      <c r="J36" s="2">
        <v>3140.51</v>
      </c>
      <c r="K36" s="2">
        <v>314.05</v>
      </c>
      <c r="L36" s="2">
        <v>690.91</v>
      </c>
      <c r="M36" s="2">
        <v>10</v>
      </c>
    </row>
    <row r="37" spans="1:13" x14ac:dyDescent="0.3">
      <c r="A37" s="4" t="s">
        <v>13</v>
      </c>
      <c r="B37" s="2" t="s">
        <v>76</v>
      </c>
      <c r="C37" s="2" t="s">
        <v>76</v>
      </c>
      <c r="D37" s="2" t="s">
        <v>77</v>
      </c>
      <c r="E37" s="2">
        <v>5.73</v>
      </c>
      <c r="F37" s="2">
        <v>5.4</v>
      </c>
      <c r="G37" s="2">
        <v>10.1</v>
      </c>
      <c r="H37" s="2">
        <v>6</v>
      </c>
      <c r="I37" s="2">
        <v>60.6</v>
      </c>
      <c r="J37" s="2">
        <v>3129.64</v>
      </c>
      <c r="K37" s="2">
        <v>312.95999999999998</v>
      </c>
      <c r="L37" s="2">
        <v>688.52</v>
      </c>
      <c r="M37" s="2">
        <v>10</v>
      </c>
    </row>
    <row r="38" spans="1:13" x14ac:dyDescent="0.3">
      <c r="A38" s="6" t="s">
        <v>13</v>
      </c>
      <c r="B38" s="7" t="s">
        <v>78</v>
      </c>
      <c r="C38" s="2" t="s">
        <v>78</v>
      </c>
      <c r="D38" s="7" t="s">
        <v>79</v>
      </c>
      <c r="E38" s="7">
        <v>2.81</v>
      </c>
      <c r="F38" s="7">
        <v>2.65</v>
      </c>
      <c r="G38" s="7">
        <v>4.5</v>
      </c>
      <c r="H38" s="7">
        <v>10</v>
      </c>
      <c r="I38" s="7">
        <v>45</v>
      </c>
      <c r="J38" s="7">
        <v>2315.06</v>
      </c>
      <c r="K38" s="7">
        <v>231.51</v>
      </c>
      <c r="L38" s="7">
        <v>509.31</v>
      </c>
      <c r="M38" s="2">
        <v>10</v>
      </c>
    </row>
    <row r="39" spans="1:13" x14ac:dyDescent="0.3">
      <c r="A39" s="4" t="s">
        <v>13</v>
      </c>
      <c r="B39" s="2" t="s">
        <v>80</v>
      </c>
      <c r="C39" s="2" t="s">
        <v>80</v>
      </c>
      <c r="D39" s="2" t="s">
        <v>50</v>
      </c>
      <c r="E39" s="2">
        <v>3.51</v>
      </c>
      <c r="F39" s="2">
        <v>3.3</v>
      </c>
      <c r="G39" s="2">
        <v>2.8</v>
      </c>
      <c r="H39" s="2">
        <v>30</v>
      </c>
      <c r="I39" s="2">
        <v>84</v>
      </c>
      <c r="J39" s="2">
        <v>4310.71</v>
      </c>
      <c r="K39" s="2">
        <v>431.07</v>
      </c>
      <c r="L39" s="2">
        <v>948.36</v>
      </c>
      <c r="M39" s="2">
        <v>10</v>
      </c>
    </row>
    <row r="40" spans="1:13" x14ac:dyDescent="0.3">
      <c r="A40" s="4" t="s">
        <v>13</v>
      </c>
      <c r="B40" s="2" t="s">
        <v>81</v>
      </c>
      <c r="C40" s="2" t="s">
        <v>81</v>
      </c>
      <c r="D40" s="2" t="s">
        <v>82</v>
      </c>
      <c r="E40" s="2">
        <v>1.49</v>
      </c>
      <c r="F40" s="2">
        <v>1.4</v>
      </c>
      <c r="G40" s="2">
        <v>6</v>
      </c>
      <c r="H40" s="2">
        <v>10</v>
      </c>
      <c r="I40" s="2">
        <v>60</v>
      </c>
      <c r="J40" s="2">
        <v>3072.78</v>
      </c>
      <c r="K40" s="2">
        <v>307.27999999999997</v>
      </c>
      <c r="L40" s="2">
        <v>676.01</v>
      </c>
      <c r="M40" s="2">
        <v>10</v>
      </c>
    </row>
    <row r="41" spans="1:13" x14ac:dyDescent="0.3">
      <c r="A41" s="4" t="s">
        <v>13</v>
      </c>
      <c r="B41" s="2" t="s">
        <v>83</v>
      </c>
      <c r="C41" s="2" t="s">
        <v>83</v>
      </c>
      <c r="D41" s="2" t="s">
        <v>84</v>
      </c>
      <c r="E41" s="2">
        <v>19.36</v>
      </c>
      <c r="F41" s="2">
        <v>18.25</v>
      </c>
      <c r="G41" s="2">
        <v>16.2</v>
      </c>
      <c r="H41" s="2">
        <v>10</v>
      </c>
      <c r="I41" s="2">
        <v>162</v>
      </c>
      <c r="J41" s="2">
        <v>8391.3700000000008</v>
      </c>
      <c r="K41" s="2">
        <v>839.14</v>
      </c>
      <c r="L41" s="2">
        <v>1846.1</v>
      </c>
      <c r="M41" s="2">
        <v>10</v>
      </c>
    </row>
    <row r="42" spans="1:13" x14ac:dyDescent="0.3">
      <c r="A42" s="4" t="s">
        <v>13</v>
      </c>
      <c r="B42" s="2" t="s">
        <v>85</v>
      </c>
      <c r="C42" s="2" t="s">
        <v>85</v>
      </c>
      <c r="D42" s="2" t="s">
        <v>86</v>
      </c>
      <c r="E42" s="2">
        <v>1.59</v>
      </c>
      <c r="F42" s="2">
        <v>1.5</v>
      </c>
      <c r="G42" s="2">
        <v>3.7</v>
      </c>
      <c r="H42" s="2">
        <v>10</v>
      </c>
      <c r="I42" s="2">
        <v>37</v>
      </c>
      <c r="J42" s="2">
        <v>1899.03</v>
      </c>
      <c r="K42" s="2">
        <v>189.9</v>
      </c>
      <c r="L42" s="2">
        <v>417.79</v>
      </c>
      <c r="M42" s="2">
        <v>10</v>
      </c>
    </row>
    <row r="43" spans="1:13" x14ac:dyDescent="0.3">
      <c r="A43" s="4" t="s">
        <v>13</v>
      </c>
      <c r="B43" s="2" t="s">
        <v>87</v>
      </c>
      <c r="C43" s="2" t="s">
        <v>87</v>
      </c>
      <c r="D43" s="2" t="s">
        <v>88</v>
      </c>
      <c r="E43" s="2">
        <v>1.6859999999999999</v>
      </c>
      <c r="F43" s="2">
        <v>1.59</v>
      </c>
      <c r="G43" s="2">
        <v>6.5</v>
      </c>
      <c r="H43" s="2">
        <v>6</v>
      </c>
      <c r="I43" s="2">
        <v>39</v>
      </c>
      <c r="J43" s="2">
        <v>2001.75</v>
      </c>
      <c r="K43" s="2">
        <v>200.18</v>
      </c>
      <c r="L43" s="2">
        <v>440.39</v>
      </c>
      <c r="M43" s="2">
        <v>10</v>
      </c>
    </row>
    <row r="44" spans="1:13" x14ac:dyDescent="0.3">
      <c r="A44" s="6" t="s">
        <v>13</v>
      </c>
      <c r="B44" s="7" t="s">
        <v>89</v>
      </c>
      <c r="C44" s="2" t="s">
        <v>89</v>
      </c>
      <c r="D44" s="7" t="s">
        <v>90</v>
      </c>
      <c r="E44" s="7">
        <v>0.87</v>
      </c>
      <c r="F44" s="7">
        <v>0.82</v>
      </c>
      <c r="G44" s="7">
        <v>1.7</v>
      </c>
      <c r="H44" s="7">
        <v>10</v>
      </c>
      <c r="I44" s="7">
        <v>17</v>
      </c>
      <c r="J44" s="7">
        <v>873.39</v>
      </c>
      <c r="K44" s="7">
        <v>87.34</v>
      </c>
      <c r="L44" s="7">
        <v>192.15</v>
      </c>
      <c r="M44" s="2">
        <v>10</v>
      </c>
    </row>
    <row r="45" spans="1:13" x14ac:dyDescent="0.3">
      <c r="A45" s="4" t="s">
        <v>13</v>
      </c>
      <c r="B45" s="2" t="s">
        <v>91</v>
      </c>
      <c r="C45" s="2" t="s">
        <v>91</v>
      </c>
      <c r="D45" s="2" t="s">
        <v>92</v>
      </c>
      <c r="E45" s="2">
        <v>5.7919999999999998</v>
      </c>
      <c r="F45" s="2">
        <v>5.46</v>
      </c>
      <c r="G45" s="2">
        <v>8.1999999999999993</v>
      </c>
      <c r="H45" s="2">
        <v>4</v>
      </c>
      <c r="I45" s="2">
        <v>32.799999999999997</v>
      </c>
      <c r="J45" s="2">
        <v>1710.57</v>
      </c>
      <c r="K45" s="2">
        <v>171.06</v>
      </c>
      <c r="L45" s="2">
        <v>376.33</v>
      </c>
      <c r="M45" s="2">
        <v>10</v>
      </c>
    </row>
    <row r="46" spans="1:13" x14ac:dyDescent="0.3">
      <c r="A46" s="6" t="s">
        <v>13</v>
      </c>
      <c r="B46" s="7" t="s">
        <v>93</v>
      </c>
      <c r="C46" s="2" t="s">
        <v>93</v>
      </c>
      <c r="D46" s="7" t="s">
        <v>94</v>
      </c>
      <c r="E46" s="7">
        <v>0.80800000000000005</v>
      </c>
      <c r="F46" s="7">
        <v>0.76</v>
      </c>
      <c r="G46" s="7">
        <v>6.5</v>
      </c>
      <c r="H46" s="7">
        <v>4</v>
      </c>
      <c r="I46" s="7">
        <v>26</v>
      </c>
      <c r="J46" s="7">
        <v>1332.54</v>
      </c>
      <c r="K46" s="7">
        <v>133.25</v>
      </c>
      <c r="L46" s="7">
        <v>293.16000000000003</v>
      </c>
      <c r="M46" s="2">
        <v>10</v>
      </c>
    </row>
    <row r="47" spans="1:13" x14ac:dyDescent="0.3">
      <c r="A47" s="4" t="s">
        <v>13</v>
      </c>
      <c r="B47" s="2" t="s">
        <v>95</v>
      </c>
      <c r="C47" s="2" t="s">
        <v>95</v>
      </c>
      <c r="D47" s="2" t="s">
        <v>96</v>
      </c>
      <c r="E47" s="2">
        <v>4.5</v>
      </c>
      <c r="F47" s="2">
        <v>4.25</v>
      </c>
      <c r="G47" s="2">
        <v>3.4</v>
      </c>
      <c r="H47" s="2">
        <v>50</v>
      </c>
      <c r="I47" s="2">
        <v>170</v>
      </c>
      <c r="J47" s="2">
        <v>8707.94</v>
      </c>
      <c r="K47" s="2">
        <v>870.79</v>
      </c>
      <c r="L47" s="2">
        <v>1915.75</v>
      </c>
      <c r="M47" s="2">
        <v>10</v>
      </c>
    </row>
    <row r="48" spans="1:13" x14ac:dyDescent="0.3">
      <c r="A48" s="6" t="s">
        <v>13</v>
      </c>
      <c r="B48" s="7" t="s">
        <v>97</v>
      </c>
      <c r="C48" s="2" t="s">
        <v>97</v>
      </c>
      <c r="D48" s="7" t="s">
        <v>79</v>
      </c>
      <c r="E48" s="7">
        <v>2.02</v>
      </c>
      <c r="F48" s="7">
        <v>1.9</v>
      </c>
      <c r="G48" s="7">
        <v>10.5</v>
      </c>
      <c r="H48" s="7">
        <v>10</v>
      </c>
      <c r="I48" s="7">
        <v>105</v>
      </c>
      <c r="J48" s="7">
        <v>5373.74</v>
      </c>
      <c r="K48" s="7">
        <v>537.37</v>
      </c>
      <c r="L48" s="7">
        <v>1182.22</v>
      </c>
      <c r="M48" s="2">
        <v>10</v>
      </c>
    </row>
    <row r="49" spans="1:13" x14ac:dyDescent="0.3">
      <c r="A49" s="4" t="s">
        <v>13</v>
      </c>
      <c r="B49" s="2" t="s">
        <v>98</v>
      </c>
      <c r="C49" s="2" t="s">
        <v>98</v>
      </c>
      <c r="D49" s="2" t="s">
        <v>99</v>
      </c>
      <c r="E49" s="2">
        <v>0.58499999999999996</v>
      </c>
      <c r="F49" s="2">
        <v>0.55000000000000004</v>
      </c>
      <c r="G49" s="2">
        <v>7</v>
      </c>
      <c r="H49" s="2">
        <v>5</v>
      </c>
      <c r="I49" s="2">
        <v>35</v>
      </c>
      <c r="J49" s="2">
        <v>1790.7</v>
      </c>
      <c r="K49" s="2">
        <v>179.07</v>
      </c>
      <c r="L49" s="2">
        <v>393.95</v>
      </c>
      <c r="M49" s="2">
        <v>10</v>
      </c>
    </row>
    <row r="50" spans="1:13" x14ac:dyDescent="0.3">
      <c r="A50" s="6" t="s">
        <v>100</v>
      </c>
      <c r="B50" s="7" t="s">
        <v>251</v>
      </c>
      <c r="C50" s="2" t="s">
        <v>251</v>
      </c>
      <c r="D50" s="7" t="s">
        <v>101</v>
      </c>
      <c r="E50" s="7">
        <v>1.92</v>
      </c>
      <c r="F50" s="7">
        <v>1.8</v>
      </c>
      <c r="G50" s="7">
        <v>3.4</v>
      </c>
      <c r="H50" s="7">
        <v>30</v>
      </c>
      <c r="I50" s="7">
        <v>102</v>
      </c>
      <c r="J50" s="7">
        <v>5219.9399999999996</v>
      </c>
      <c r="K50" s="7">
        <v>521.99</v>
      </c>
      <c r="L50" s="7">
        <v>1148.3900000000001</v>
      </c>
      <c r="M50" s="2">
        <v>10</v>
      </c>
    </row>
    <row r="51" spans="1:13" x14ac:dyDescent="0.3">
      <c r="A51" s="4" t="s">
        <v>100</v>
      </c>
      <c r="B51" s="2" t="s">
        <v>102</v>
      </c>
      <c r="C51" s="2" t="s">
        <v>102</v>
      </c>
      <c r="D51" s="2" t="s">
        <v>103</v>
      </c>
      <c r="E51" s="2">
        <v>0.17</v>
      </c>
      <c r="F51" s="2">
        <v>0.16</v>
      </c>
      <c r="G51" s="2">
        <v>4.9000000000000004</v>
      </c>
      <c r="H51" s="2">
        <v>2</v>
      </c>
      <c r="I51" s="2">
        <v>9.8000000000000007</v>
      </c>
      <c r="J51" s="2">
        <v>501.43</v>
      </c>
      <c r="K51" s="2">
        <v>50.14</v>
      </c>
      <c r="L51" s="2">
        <v>110.31</v>
      </c>
      <c r="M51" s="2">
        <v>10</v>
      </c>
    </row>
    <row r="52" spans="1:13" x14ac:dyDescent="0.3">
      <c r="A52" s="6" t="s">
        <v>100</v>
      </c>
      <c r="B52" s="7" t="s">
        <v>104</v>
      </c>
      <c r="C52" s="2" t="s">
        <v>104</v>
      </c>
      <c r="D52" s="7" t="s">
        <v>105</v>
      </c>
      <c r="E52" s="7">
        <v>1.06</v>
      </c>
      <c r="F52" s="7">
        <v>1</v>
      </c>
      <c r="G52" s="7">
        <v>9.1</v>
      </c>
      <c r="H52" s="7">
        <v>10</v>
      </c>
      <c r="I52" s="7">
        <v>91</v>
      </c>
      <c r="J52" s="7">
        <v>4652.97</v>
      </c>
      <c r="K52" s="7">
        <v>465.3</v>
      </c>
      <c r="L52" s="7">
        <v>1023.65</v>
      </c>
      <c r="M52" s="2">
        <v>10</v>
      </c>
    </row>
    <row r="53" spans="1:13" x14ac:dyDescent="0.3">
      <c r="A53" s="4" t="s">
        <v>100</v>
      </c>
      <c r="B53" s="2" t="s">
        <v>106</v>
      </c>
      <c r="C53" s="2" t="s">
        <v>106</v>
      </c>
      <c r="D53" s="2" t="s">
        <v>107</v>
      </c>
      <c r="E53" s="2">
        <v>7.64</v>
      </c>
      <c r="F53" s="2">
        <v>7.2</v>
      </c>
      <c r="G53" s="2">
        <v>12.2</v>
      </c>
      <c r="H53" s="2">
        <v>40</v>
      </c>
      <c r="I53" s="2">
        <v>488</v>
      </c>
      <c r="J53" s="5">
        <f>SUM(24964.28,0.01)</f>
        <v>24964.289999999997</v>
      </c>
      <c r="K53" s="2">
        <v>2496.4299999999998</v>
      </c>
      <c r="L53" s="2">
        <v>5492.14</v>
      </c>
      <c r="M53" s="2">
        <v>10</v>
      </c>
    </row>
    <row r="54" spans="1:13" x14ac:dyDescent="0.3">
      <c r="A54" s="4" t="s">
        <v>100</v>
      </c>
      <c r="B54" s="2" t="s">
        <v>108</v>
      </c>
      <c r="C54" s="2" t="s">
        <v>108</v>
      </c>
      <c r="D54" s="2" t="s">
        <v>109</v>
      </c>
      <c r="E54" s="2">
        <v>1.91</v>
      </c>
      <c r="F54" s="2">
        <v>1.8</v>
      </c>
      <c r="G54" s="2">
        <v>5.2</v>
      </c>
      <c r="H54" s="2">
        <v>10</v>
      </c>
      <c r="I54" s="2">
        <v>52</v>
      </c>
      <c r="J54" s="2">
        <v>2666.91</v>
      </c>
      <c r="K54" s="2">
        <v>266.69</v>
      </c>
      <c r="L54" s="2">
        <v>586.72</v>
      </c>
      <c r="M54" s="2">
        <v>10</v>
      </c>
    </row>
    <row r="55" spans="1:13" x14ac:dyDescent="0.3">
      <c r="A55" s="4" t="s">
        <v>100</v>
      </c>
      <c r="B55" s="2" t="s">
        <v>110</v>
      </c>
      <c r="C55" s="2" t="s">
        <v>110</v>
      </c>
      <c r="D55" s="2" t="s">
        <v>111</v>
      </c>
      <c r="E55" s="2">
        <v>0.315</v>
      </c>
      <c r="F55" s="2">
        <v>0.3</v>
      </c>
      <c r="G55" s="2">
        <v>0.8</v>
      </c>
      <c r="H55" s="2">
        <v>15</v>
      </c>
      <c r="I55" s="2">
        <v>12</v>
      </c>
      <c r="J55" s="2">
        <v>614.66</v>
      </c>
      <c r="K55" s="2">
        <v>61.47</v>
      </c>
      <c r="L55" s="2">
        <v>135.22999999999999</v>
      </c>
      <c r="M55" s="2">
        <v>10</v>
      </c>
    </row>
    <row r="56" spans="1:13" x14ac:dyDescent="0.3">
      <c r="A56" s="6" t="s">
        <v>112</v>
      </c>
      <c r="B56" s="7" t="s">
        <v>113</v>
      </c>
      <c r="C56" s="2" t="s">
        <v>113</v>
      </c>
      <c r="D56" s="7" t="s">
        <v>114</v>
      </c>
      <c r="E56" s="7">
        <v>2.5499999999999998</v>
      </c>
      <c r="F56" s="7">
        <v>2.4</v>
      </c>
      <c r="G56" s="7">
        <v>7.2</v>
      </c>
      <c r="H56" s="7">
        <v>10</v>
      </c>
      <c r="I56" s="7">
        <v>72</v>
      </c>
      <c r="J56" s="7">
        <v>3692.05</v>
      </c>
      <c r="K56" s="7">
        <v>369.21</v>
      </c>
      <c r="L56" s="7">
        <v>812.25</v>
      </c>
      <c r="M56" s="2">
        <v>10</v>
      </c>
    </row>
    <row r="57" spans="1:13" x14ac:dyDescent="0.3">
      <c r="A57" s="4" t="s">
        <v>112</v>
      </c>
      <c r="B57" s="2" t="s">
        <v>115</v>
      </c>
      <c r="C57" s="2" t="s">
        <v>115</v>
      </c>
      <c r="D57" s="2" t="s">
        <v>116</v>
      </c>
      <c r="E57" s="2">
        <v>1.48</v>
      </c>
      <c r="F57" s="2">
        <v>1.4</v>
      </c>
      <c r="G57" s="2">
        <v>7.4</v>
      </c>
      <c r="H57" s="2">
        <v>20</v>
      </c>
      <c r="I57" s="2">
        <v>148</v>
      </c>
      <c r="J57" s="2">
        <v>7565.96</v>
      </c>
      <c r="K57" s="2">
        <v>756.6</v>
      </c>
      <c r="L57" s="2">
        <v>1664.51</v>
      </c>
      <c r="M57" s="2">
        <v>10</v>
      </c>
    </row>
    <row r="58" spans="1:13" x14ac:dyDescent="0.3">
      <c r="A58" s="4" t="s">
        <v>112</v>
      </c>
      <c r="B58" s="2" t="s">
        <v>117</v>
      </c>
      <c r="C58" s="2" t="s">
        <v>117</v>
      </c>
      <c r="D58" s="2" t="s">
        <v>118</v>
      </c>
      <c r="E58" s="2">
        <v>1.06</v>
      </c>
      <c r="F58" s="2">
        <v>1</v>
      </c>
      <c r="G58" s="2">
        <v>16.8</v>
      </c>
      <c r="H58" s="2">
        <v>10</v>
      </c>
      <c r="I58" s="2">
        <v>168</v>
      </c>
      <c r="J58" s="5">
        <f>SUM(8584.55,0.01)</f>
        <v>8584.56</v>
      </c>
      <c r="K58" s="5">
        <f>SUM(858.46,-0.01)</f>
        <v>858.45</v>
      </c>
      <c r="L58" s="2">
        <v>1888.6</v>
      </c>
      <c r="M58" s="2">
        <v>10</v>
      </c>
    </row>
    <row r="59" spans="1:13" x14ac:dyDescent="0.3">
      <c r="A59" s="4" t="s">
        <v>112</v>
      </c>
      <c r="B59" s="2" t="s">
        <v>119</v>
      </c>
      <c r="C59" s="2" t="s">
        <v>119</v>
      </c>
      <c r="D59" s="2" t="s">
        <v>120</v>
      </c>
      <c r="E59" s="2">
        <v>1.1399999999999999</v>
      </c>
      <c r="F59" s="2">
        <v>1.08</v>
      </c>
      <c r="G59" s="2">
        <v>4.3</v>
      </c>
      <c r="H59" s="2">
        <v>15</v>
      </c>
      <c r="I59" s="2">
        <v>64.5</v>
      </c>
      <c r="J59" s="2">
        <v>3300.39</v>
      </c>
      <c r="K59" s="2">
        <v>330.04</v>
      </c>
      <c r="L59" s="2">
        <v>726.09</v>
      </c>
      <c r="M59" s="2">
        <v>10</v>
      </c>
    </row>
    <row r="60" spans="1:13" x14ac:dyDescent="0.3">
      <c r="A60" s="4" t="s">
        <v>112</v>
      </c>
      <c r="B60" s="2" t="s">
        <v>121</v>
      </c>
      <c r="C60" s="2" t="s">
        <v>121</v>
      </c>
      <c r="D60" s="2" t="s">
        <v>122</v>
      </c>
      <c r="E60" s="2">
        <v>2.33</v>
      </c>
      <c r="F60" s="2">
        <v>2.2000000000000002</v>
      </c>
      <c r="G60" s="2">
        <v>9.4</v>
      </c>
      <c r="H60" s="2">
        <v>10</v>
      </c>
      <c r="I60" s="2">
        <v>94</v>
      </c>
      <c r="J60" s="2">
        <v>4814</v>
      </c>
      <c r="K60" s="2">
        <v>481.4</v>
      </c>
      <c r="L60" s="2">
        <v>1059.08</v>
      </c>
      <c r="M60" s="2">
        <v>10</v>
      </c>
    </row>
    <row r="61" spans="1:13" x14ac:dyDescent="0.3">
      <c r="A61" s="6" t="s">
        <v>123</v>
      </c>
      <c r="B61" s="7" t="s">
        <v>124</v>
      </c>
      <c r="C61" s="2" t="s">
        <v>124</v>
      </c>
      <c r="D61" s="7" t="s">
        <v>125</v>
      </c>
      <c r="E61" s="7">
        <v>2.08</v>
      </c>
      <c r="F61" s="7">
        <v>1.96</v>
      </c>
      <c r="G61" s="7">
        <v>24.3</v>
      </c>
      <c r="H61" s="7">
        <v>8</v>
      </c>
      <c r="I61" s="7">
        <v>194.4</v>
      </c>
      <c r="J61" s="7">
        <v>9938.83</v>
      </c>
      <c r="K61" s="7">
        <v>496.94</v>
      </c>
      <c r="L61" s="7">
        <v>2087.15</v>
      </c>
      <c r="M61" s="2">
        <v>5</v>
      </c>
    </row>
    <row r="62" spans="1:13" x14ac:dyDescent="0.3">
      <c r="A62" s="4" t="s">
        <v>126</v>
      </c>
      <c r="B62" s="2" t="s">
        <v>127</v>
      </c>
      <c r="C62" s="2" t="s">
        <v>127</v>
      </c>
      <c r="D62" s="2" t="s">
        <v>128</v>
      </c>
      <c r="E62" s="2">
        <v>18.05</v>
      </c>
      <c r="F62" s="2">
        <v>17</v>
      </c>
      <c r="G62" s="2">
        <v>1.8</v>
      </c>
      <c r="H62" s="2">
        <v>50</v>
      </c>
      <c r="I62" s="2">
        <v>90</v>
      </c>
      <c r="J62" s="2">
        <v>4706.9799999999996</v>
      </c>
      <c r="K62" s="2">
        <v>235.35</v>
      </c>
      <c r="L62" s="2">
        <v>988.47</v>
      </c>
      <c r="M62" s="2">
        <v>5</v>
      </c>
    </row>
    <row r="63" spans="1:13" x14ac:dyDescent="0.3">
      <c r="A63" s="4" t="s">
        <v>129</v>
      </c>
      <c r="B63" s="2" t="s">
        <v>130</v>
      </c>
      <c r="C63" s="2" t="s">
        <v>130</v>
      </c>
      <c r="D63" s="2" t="s">
        <v>131</v>
      </c>
      <c r="E63" s="2">
        <v>2.1150000000000002</v>
      </c>
      <c r="F63" s="2">
        <v>2</v>
      </c>
      <c r="G63" s="2">
        <v>2.4</v>
      </c>
      <c r="H63" s="2">
        <v>5</v>
      </c>
      <c r="I63" s="2">
        <v>12</v>
      </c>
      <c r="J63" s="2">
        <v>625.79</v>
      </c>
      <c r="K63" s="2">
        <v>31.29</v>
      </c>
      <c r="L63" s="2">
        <v>131.41999999999999</v>
      </c>
      <c r="M63" s="2">
        <v>5</v>
      </c>
    </row>
    <row r="64" spans="1:13" x14ac:dyDescent="0.3">
      <c r="A64" s="4" t="s">
        <v>132</v>
      </c>
      <c r="B64" s="2" t="s">
        <v>133</v>
      </c>
      <c r="C64" s="2" t="s">
        <v>133</v>
      </c>
      <c r="D64" s="2" t="s">
        <v>134</v>
      </c>
      <c r="E64" s="2">
        <v>2.86</v>
      </c>
      <c r="F64" s="2">
        <v>2.7</v>
      </c>
      <c r="G64" s="2">
        <v>2.1</v>
      </c>
      <c r="H64" s="2">
        <v>20</v>
      </c>
      <c r="I64" s="2">
        <v>42</v>
      </c>
      <c r="J64" s="2">
        <v>2162.19</v>
      </c>
      <c r="K64" s="2">
        <v>108.11</v>
      </c>
      <c r="L64" s="2">
        <v>454.06</v>
      </c>
      <c r="M64" s="2">
        <v>5</v>
      </c>
    </row>
    <row r="65" spans="1:13" x14ac:dyDescent="0.3">
      <c r="A65" s="6" t="s">
        <v>135</v>
      </c>
      <c r="B65" s="7" t="s">
        <v>136</v>
      </c>
      <c r="C65" s="2" t="s">
        <v>136</v>
      </c>
      <c r="D65" s="7" t="s">
        <v>137</v>
      </c>
      <c r="E65" s="7">
        <v>0.67800000000000005</v>
      </c>
      <c r="F65" s="7">
        <v>0.64</v>
      </c>
      <c r="G65" s="7">
        <v>13.8</v>
      </c>
      <c r="H65" s="7">
        <v>2</v>
      </c>
      <c r="I65" s="7">
        <v>27.6</v>
      </c>
      <c r="J65" s="7">
        <v>1413.44</v>
      </c>
      <c r="K65" s="7">
        <v>0</v>
      </c>
      <c r="L65" s="7">
        <v>282.69</v>
      </c>
      <c r="M65" s="2">
        <v>0</v>
      </c>
    </row>
    <row r="66" spans="1:13" x14ac:dyDescent="0.3">
      <c r="A66" s="4" t="s">
        <v>135</v>
      </c>
      <c r="B66" s="2" t="s">
        <v>138</v>
      </c>
      <c r="C66" s="2" t="s">
        <v>138</v>
      </c>
      <c r="D66" s="2" t="s">
        <v>139</v>
      </c>
      <c r="E66" s="2">
        <v>0.96599999999999997</v>
      </c>
      <c r="F66" s="2">
        <v>0.91</v>
      </c>
      <c r="G66" s="2">
        <v>13.6</v>
      </c>
      <c r="H66" s="2">
        <v>2</v>
      </c>
      <c r="I66" s="2">
        <v>27.2</v>
      </c>
      <c r="J66" s="2">
        <v>1394.79</v>
      </c>
      <c r="K66" s="2">
        <v>0</v>
      </c>
      <c r="L66" s="2">
        <v>278.95999999999998</v>
      </c>
      <c r="M66" s="2">
        <v>0</v>
      </c>
    </row>
    <row r="67" spans="1:13" x14ac:dyDescent="0.3">
      <c r="A67" s="4" t="s">
        <v>135</v>
      </c>
      <c r="B67" s="2" t="s">
        <v>140</v>
      </c>
      <c r="C67" s="2" t="s">
        <v>140</v>
      </c>
      <c r="D67" s="2" t="s">
        <v>139</v>
      </c>
      <c r="E67" s="2">
        <v>1.38</v>
      </c>
      <c r="F67" s="2">
        <v>1.3</v>
      </c>
      <c r="G67" s="2">
        <v>30.3</v>
      </c>
      <c r="H67" s="2">
        <v>2</v>
      </c>
      <c r="I67" s="2">
        <v>60.6</v>
      </c>
      <c r="J67" s="2">
        <v>3102.74</v>
      </c>
      <c r="K67" s="2">
        <v>0</v>
      </c>
      <c r="L67" s="5">
        <f>SUM(620.55,-0.01)</f>
        <v>620.54</v>
      </c>
      <c r="M67" s="2">
        <v>0</v>
      </c>
    </row>
    <row r="68" spans="1:13" x14ac:dyDescent="0.3">
      <c r="A68" s="4" t="s">
        <v>141</v>
      </c>
      <c r="B68" s="2" t="s">
        <v>142</v>
      </c>
      <c r="C68" s="2" t="s">
        <v>142</v>
      </c>
      <c r="D68" s="2" t="s">
        <v>143</v>
      </c>
      <c r="E68" s="2">
        <v>6.68</v>
      </c>
      <c r="F68" s="2">
        <v>6.3</v>
      </c>
      <c r="G68" s="2">
        <v>20</v>
      </c>
      <c r="H68" s="2">
        <v>10</v>
      </c>
      <c r="I68" s="2">
        <v>200</v>
      </c>
      <c r="J68" s="2">
        <v>10253.209999999999</v>
      </c>
      <c r="K68" s="2">
        <v>0</v>
      </c>
      <c r="L68" s="2">
        <v>2050.64</v>
      </c>
      <c r="M68" s="2">
        <v>0</v>
      </c>
    </row>
    <row r="69" spans="1:13" x14ac:dyDescent="0.3">
      <c r="A69" s="4" t="s">
        <v>141</v>
      </c>
      <c r="B69" s="2" t="s">
        <v>144</v>
      </c>
      <c r="C69" s="2" t="s">
        <v>144</v>
      </c>
      <c r="D69" s="2" t="s">
        <v>145</v>
      </c>
      <c r="E69" s="2">
        <v>1.1040000000000001</v>
      </c>
      <c r="F69" s="2">
        <v>1.04</v>
      </c>
      <c r="G69" s="2">
        <v>18.100000000000001</v>
      </c>
      <c r="H69" s="2">
        <v>2</v>
      </c>
      <c r="I69" s="2">
        <v>36.200000000000003</v>
      </c>
      <c r="J69" s="2">
        <v>1855.18</v>
      </c>
      <c r="K69" s="2">
        <v>0</v>
      </c>
      <c r="L69" s="2">
        <v>371.04</v>
      </c>
      <c r="M69" s="2">
        <v>0</v>
      </c>
    </row>
    <row r="70" spans="1:13" x14ac:dyDescent="0.3">
      <c r="A70" s="4" t="s">
        <v>141</v>
      </c>
      <c r="B70" s="2" t="s">
        <v>146</v>
      </c>
      <c r="C70" s="2" t="s">
        <v>146</v>
      </c>
      <c r="D70" s="2" t="s">
        <v>147</v>
      </c>
      <c r="E70" s="2">
        <v>5.3780000000000001</v>
      </c>
      <c r="F70" s="2">
        <v>5.07</v>
      </c>
      <c r="G70" s="2">
        <v>63.8</v>
      </c>
      <c r="H70" s="2">
        <v>2</v>
      </c>
      <c r="I70" s="2">
        <v>127.6</v>
      </c>
      <c r="J70" s="2">
        <v>6548.45</v>
      </c>
      <c r="K70" s="2">
        <v>0</v>
      </c>
      <c r="L70" s="2">
        <v>1309.69</v>
      </c>
      <c r="M70" s="2">
        <v>0</v>
      </c>
    </row>
    <row r="71" spans="1:13" x14ac:dyDescent="0.3">
      <c r="A71" s="4" t="s">
        <v>141</v>
      </c>
      <c r="B71" s="2" t="s">
        <v>148</v>
      </c>
      <c r="C71" s="2" t="s">
        <v>148</v>
      </c>
      <c r="D71" s="2" t="s">
        <v>149</v>
      </c>
      <c r="E71" s="2">
        <v>4.7960000000000003</v>
      </c>
      <c r="F71" s="2">
        <v>4.5199999999999996</v>
      </c>
      <c r="G71" s="2">
        <v>51</v>
      </c>
      <c r="H71" s="2">
        <v>4</v>
      </c>
      <c r="I71" s="2">
        <v>204</v>
      </c>
      <c r="J71" s="2">
        <v>10445.799999999999</v>
      </c>
      <c r="K71" s="2">
        <v>0</v>
      </c>
      <c r="L71" s="2">
        <v>2089.16</v>
      </c>
      <c r="M71" s="2">
        <v>0</v>
      </c>
    </row>
    <row r="72" spans="1:13" x14ac:dyDescent="0.3">
      <c r="A72" s="4" t="s">
        <v>150</v>
      </c>
      <c r="B72" s="2" t="s">
        <v>151</v>
      </c>
      <c r="C72" s="2" t="s">
        <v>151</v>
      </c>
      <c r="D72" s="2" t="s">
        <v>152</v>
      </c>
      <c r="E72" s="2">
        <v>12.06</v>
      </c>
      <c r="F72" s="2">
        <v>11.37</v>
      </c>
      <c r="G72" s="2">
        <v>49</v>
      </c>
      <c r="H72" s="2">
        <v>3</v>
      </c>
      <c r="I72" s="2">
        <v>147</v>
      </c>
      <c r="J72" s="2">
        <v>7580.33</v>
      </c>
      <c r="K72" s="2">
        <v>0</v>
      </c>
      <c r="L72" s="2">
        <v>1516.07</v>
      </c>
      <c r="M72" s="2">
        <v>0</v>
      </c>
    </row>
    <row r="73" spans="1:13" x14ac:dyDescent="0.3">
      <c r="A73" s="4" t="s">
        <v>150</v>
      </c>
      <c r="B73" s="2" t="s">
        <v>153</v>
      </c>
      <c r="C73" s="2" t="s">
        <v>153</v>
      </c>
      <c r="D73" s="2" t="s">
        <v>154</v>
      </c>
      <c r="E73" s="2">
        <v>11.901999999999999</v>
      </c>
      <c r="F73" s="2">
        <v>11.22</v>
      </c>
      <c r="G73" s="2">
        <v>68.400000000000006</v>
      </c>
      <c r="H73" s="2">
        <v>2</v>
      </c>
      <c r="I73" s="2">
        <v>136.80000000000001</v>
      </c>
      <c r="J73" s="2">
        <v>7058.55</v>
      </c>
      <c r="K73" s="2">
        <v>0</v>
      </c>
      <c r="L73" s="2">
        <v>1411.71</v>
      </c>
      <c r="M73" s="2">
        <v>0</v>
      </c>
    </row>
    <row r="74" spans="1:13" x14ac:dyDescent="0.3">
      <c r="A74" s="4" t="s">
        <v>150</v>
      </c>
      <c r="B74" s="2" t="s">
        <v>155</v>
      </c>
      <c r="C74" s="2" t="s">
        <v>155</v>
      </c>
      <c r="D74" s="2" t="s">
        <v>156</v>
      </c>
      <c r="E74" s="2">
        <v>35.56</v>
      </c>
      <c r="F74" s="2">
        <v>33.520000000000003</v>
      </c>
      <c r="G74" s="2">
        <v>71.7</v>
      </c>
      <c r="H74" s="2">
        <v>8</v>
      </c>
      <c r="I74" s="2">
        <v>573.6</v>
      </c>
      <c r="J74" s="5">
        <f>SUM(29507.65,-0.01)</f>
        <v>29507.640000000003</v>
      </c>
      <c r="K74" s="2">
        <v>0</v>
      </c>
      <c r="L74" s="5">
        <f>SUM(5901.53,-0.01)</f>
        <v>5901.5199999999995</v>
      </c>
      <c r="M74" s="2">
        <v>0</v>
      </c>
    </row>
    <row r="75" spans="1:13" x14ac:dyDescent="0.3">
      <c r="A75" s="4" t="s">
        <v>157</v>
      </c>
      <c r="B75" s="2" t="s">
        <v>158</v>
      </c>
      <c r="C75" s="2" t="s">
        <v>158</v>
      </c>
      <c r="D75" s="2" t="s">
        <v>159</v>
      </c>
      <c r="E75" s="2">
        <v>1.7170000000000001</v>
      </c>
      <c r="F75" s="2">
        <v>1.615</v>
      </c>
      <c r="G75" s="2">
        <v>7.8</v>
      </c>
      <c r="H75" s="2">
        <v>17</v>
      </c>
      <c r="I75" s="2">
        <v>132.6</v>
      </c>
      <c r="J75" s="2">
        <v>6781.11</v>
      </c>
      <c r="K75" s="2">
        <v>0</v>
      </c>
      <c r="L75" s="2">
        <v>1356.22</v>
      </c>
      <c r="M75" s="2">
        <v>0</v>
      </c>
    </row>
    <row r="76" spans="1:13" x14ac:dyDescent="0.3">
      <c r="A76" s="4" t="s">
        <v>157</v>
      </c>
      <c r="B76" s="2" t="s">
        <v>160</v>
      </c>
      <c r="C76" s="2" t="s">
        <v>160</v>
      </c>
      <c r="D76" s="2" t="s">
        <v>161</v>
      </c>
      <c r="E76" s="2">
        <v>0.64</v>
      </c>
      <c r="F76" s="2">
        <v>0.6</v>
      </c>
      <c r="G76" s="2">
        <v>3.2</v>
      </c>
      <c r="H76" s="2">
        <v>10</v>
      </c>
      <c r="I76" s="2">
        <v>32</v>
      </c>
      <c r="J76" s="2">
        <v>1637.86</v>
      </c>
      <c r="K76" s="2">
        <v>0</v>
      </c>
      <c r="L76" s="2">
        <v>327.57</v>
      </c>
      <c r="M76" s="2">
        <v>0</v>
      </c>
    </row>
    <row r="77" spans="1:13" x14ac:dyDescent="0.3">
      <c r="A77" s="4" t="s">
        <v>157</v>
      </c>
      <c r="B77" s="2" t="s">
        <v>162</v>
      </c>
      <c r="C77" s="2" t="s">
        <v>162</v>
      </c>
      <c r="D77" s="2" t="s">
        <v>163</v>
      </c>
      <c r="E77" s="2">
        <v>8.58</v>
      </c>
      <c r="F77" s="2">
        <v>8.1</v>
      </c>
      <c r="G77" s="2">
        <v>8.5</v>
      </c>
      <c r="H77" s="2">
        <v>60</v>
      </c>
      <c r="I77" s="2">
        <v>510</v>
      </c>
      <c r="J77" s="5">
        <f>SUM(26093.41,-0.01)</f>
        <v>26093.4</v>
      </c>
      <c r="K77" s="2">
        <v>0</v>
      </c>
      <c r="L77" s="5">
        <f>SUM(5218.68,0.01)</f>
        <v>5218.6900000000005</v>
      </c>
      <c r="M77" s="2">
        <v>0</v>
      </c>
    </row>
    <row r="78" spans="1:13" x14ac:dyDescent="0.3">
      <c r="A78" s="6" t="s">
        <v>157</v>
      </c>
      <c r="B78" s="7" t="s">
        <v>164</v>
      </c>
      <c r="C78" s="2" t="s">
        <v>164</v>
      </c>
      <c r="D78" s="7" t="s">
        <v>165</v>
      </c>
      <c r="E78" s="7">
        <v>5.95</v>
      </c>
      <c r="F78" s="7">
        <v>5.6</v>
      </c>
      <c r="G78" s="7">
        <v>14.2</v>
      </c>
      <c r="H78" s="7">
        <v>35</v>
      </c>
      <c r="I78" s="7">
        <v>497</v>
      </c>
      <c r="J78" s="7">
        <v>25413.37</v>
      </c>
      <c r="K78" s="7">
        <v>0</v>
      </c>
      <c r="L78" s="7">
        <v>5082.67</v>
      </c>
      <c r="M78" s="2">
        <v>0</v>
      </c>
    </row>
    <row r="79" spans="1:13" x14ac:dyDescent="0.3">
      <c r="A79" s="4" t="s">
        <v>157</v>
      </c>
      <c r="B79" s="2" t="s">
        <v>166</v>
      </c>
      <c r="C79" s="2" t="s">
        <v>166</v>
      </c>
      <c r="D79" s="2" t="s">
        <v>167</v>
      </c>
      <c r="E79" s="2">
        <v>0.127</v>
      </c>
      <c r="F79" s="2">
        <v>0.12</v>
      </c>
      <c r="G79" s="2">
        <v>9.3000000000000007</v>
      </c>
      <c r="H79" s="2">
        <v>1</v>
      </c>
      <c r="I79" s="2">
        <v>9.3000000000000007</v>
      </c>
      <c r="J79" s="2">
        <v>475.64</v>
      </c>
      <c r="K79" s="2">
        <v>0</v>
      </c>
      <c r="L79" s="2">
        <v>95.13</v>
      </c>
      <c r="M79" s="2">
        <v>0</v>
      </c>
    </row>
    <row r="80" spans="1:13" x14ac:dyDescent="0.3">
      <c r="A80" s="6" t="s">
        <v>157</v>
      </c>
      <c r="B80" s="7" t="s">
        <v>168</v>
      </c>
      <c r="C80" s="2" t="s">
        <v>168</v>
      </c>
      <c r="D80" s="7" t="s">
        <v>169</v>
      </c>
      <c r="E80" s="7">
        <v>2.8650000000000002</v>
      </c>
      <c r="F80" s="7">
        <v>2.7</v>
      </c>
      <c r="G80" s="7">
        <v>11</v>
      </c>
      <c r="H80" s="7">
        <v>15</v>
      </c>
      <c r="I80" s="7">
        <v>165</v>
      </c>
      <c r="J80" s="7">
        <v>8442.5400000000009</v>
      </c>
      <c r="K80" s="7">
        <v>0</v>
      </c>
      <c r="L80" s="7">
        <v>1688.51</v>
      </c>
      <c r="M80" s="2">
        <v>0</v>
      </c>
    </row>
    <row r="81" spans="1:13" x14ac:dyDescent="0.3">
      <c r="A81" s="4" t="s">
        <v>157</v>
      </c>
      <c r="B81" s="2" t="s">
        <v>170</v>
      </c>
      <c r="C81" s="2" t="s">
        <v>170</v>
      </c>
      <c r="D81" s="2" t="s">
        <v>171</v>
      </c>
      <c r="E81" s="2">
        <v>4.7699999999999996</v>
      </c>
      <c r="F81" s="2">
        <v>4.5</v>
      </c>
      <c r="G81" s="2">
        <v>11</v>
      </c>
      <c r="H81" s="2">
        <v>30</v>
      </c>
      <c r="I81" s="2">
        <v>330</v>
      </c>
      <c r="J81" s="2">
        <v>16879.13</v>
      </c>
      <c r="K81" s="2">
        <v>0</v>
      </c>
      <c r="L81" s="2">
        <v>3375.83</v>
      </c>
      <c r="M81" s="2">
        <v>0</v>
      </c>
    </row>
    <row r="82" spans="1:13" x14ac:dyDescent="0.3">
      <c r="A82" s="6" t="s">
        <v>157</v>
      </c>
      <c r="B82" s="7" t="s">
        <v>172</v>
      </c>
      <c r="C82" s="2" t="s">
        <v>172</v>
      </c>
      <c r="D82" s="7" t="s">
        <v>169</v>
      </c>
      <c r="E82" s="7">
        <v>2.0699999999999998</v>
      </c>
      <c r="F82" s="7">
        <v>1.95</v>
      </c>
      <c r="G82" s="7">
        <v>17.3</v>
      </c>
      <c r="H82" s="7">
        <v>15</v>
      </c>
      <c r="I82" s="7">
        <v>259.5</v>
      </c>
      <c r="J82" s="7">
        <v>13262.74</v>
      </c>
      <c r="K82" s="7">
        <v>0</v>
      </c>
      <c r="L82" s="7">
        <v>2652.55</v>
      </c>
      <c r="M82" s="2">
        <v>0</v>
      </c>
    </row>
    <row r="83" spans="1:13" x14ac:dyDescent="0.3">
      <c r="A83" s="4" t="s">
        <v>157</v>
      </c>
      <c r="B83" s="2" t="s">
        <v>252</v>
      </c>
      <c r="C83" s="2" t="s">
        <v>252</v>
      </c>
      <c r="D83" s="2" t="s">
        <v>173</v>
      </c>
      <c r="E83" s="2">
        <v>2.02</v>
      </c>
      <c r="F83" s="2">
        <v>1.9</v>
      </c>
      <c r="G83" s="2">
        <v>9.6</v>
      </c>
      <c r="H83" s="2">
        <v>10</v>
      </c>
      <c r="I83" s="2">
        <v>96</v>
      </c>
      <c r="J83" s="2">
        <v>4914.2</v>
      </c>
      <c r="K83" s="2">
        <v>0</v>
      </c>
      <c r="L83" s="2">
        <v>982.84</v>
      </c>
      <c r="M83" s="2">
        <v>0</v>
      </c>
    </row>
    <row r="84" spans="1:13" x14ac:dyDescent="0.3">
      <c r="A84" s="6" t="s">
        <v>157</v>
      </c>
      <c r="B84" s="7" t="s">
        <v>253</v>
      </c>
      <c r="C84" s="2" t="s">
        <v>253</v>
      </c>
      <c r="D84" s="7" t="s">
        <v>173</v>
      </c>
      <c r="E84" s="7">
        <v>2.97</v>
      </c>
      <c r="F84" s="7">
        <v>2.8</v>
      </c>
      <c r="G84" s="7">
        <v>16.3</v>
      </c>
      <c r="H84" s="7">
        <v>10</v>
      </c>
      <c r="I84" s="7">
        <v>163</v>
      </c>
      <c r="J84" s="7">
        <v>8341.07</v>
      </c>
      <c r="K84" s="7">
        <v>0</v>
      </c>
      <c r="L84" s="7">
        <v>1668.21</v>
      </c>
      <c r="M84" s="2">
        <v>0</v>
      </c>
    </row>
    <row r="85" spans="1:13" x14ac:dyDescent="0.3">
      <c r="A85" s="4" t="s">
        <v>157</v>
      </c>
      <c r="B85" s="2" t="s">
        <v>174</v>
      </c>
      <c r="C85" s="2" t="s">
        <v>174</v>
      </c>
      <c r="D85" s="2" t="s">
        <v>175</v>
      </c>
      <c r="E85" s="2">
        <v>3.18</v>
      </c>
      <c r="F85" s="2">
        <v>3</v>
      </c>
      <c r="G85" s="2">
        <v>12.6</v>
      </c>
      <c r="H85" s="2">
        <v>20</v>
      </c>
      <c r="I85" s="2">
        <v>252</v>
      </c>
      <c r="J85" s="2">
        <v>12886.66</v>
      </c>
      <c r="K85" s="2">
        <v>0</v>
      </c>
      <c r="L85" s="2">
        <v>2577.33</v>
      </c>
      <c r="M85" s="2">
        <v>0</v>
      </c>
    </row>
    <row r="86" spans="1:13" x14ac:dyDescent="0.3">
      <c r="A86" s="4" t="s">
        <v>157</v>
      </c>
      <c r="B86" s="2" t="s">
        <v>176</v>
      </c>
      <c r="C86" s="2" t="s">
        <v>176</v>
      </c>
      <c r="D86" s="2" t="s">
        <v>173</v>
      </c>
      <c r="E86" s="2">
        <v>2.02</v>
      </c>
      <c r="F86" s="2">
        <v>1.9</v>
      </c>
      <c r="G86" s="2">
        <v>21.2</v>
      </c>
      <c r="H86" s="2">
        <v>10</v>
      </c>
      <c r="I86" s="2">
        <v>212</v>
      </c>
      <c r="J86" s="2">
        <v>10837.11</v>
      </c>
      <c r="K86" s="2">
        <v>0</v>
      </c>
      <c r="L86" s="2">
        <v>2167.42</v>
      </c>
      <c r="M86" s="2">
        <v>0</v>
      </c>
    </row>
    <row r="87" spans="1:13" x14ac:dyDescent="0.3">
      <c r="A87" s="4" t="s">
        <v>177</v>
      </c>
      <c r="B87" s="2" t="s">
        <v>254</v>
      </c>
      <c r="C87" s="2" t="s">
        <v>254</v>
      </c>
      <c r="D87" s="2" t="s">
        <v>178</v>
      </c>
      <c r="E87" s="2">
        <v>3.51</v>
      </c>
      <c r="F87" s="2">
        <v>3.3</v>
      </c>
      <c r="G87" s="2">
        <v>18.399999999999999</v>
      </c>
      <c r="H87" s="2">
        <v>30</v>
      </c>
      <c r="I87" s="2">
        <v>552</v>
      </c>
      <c r="J87" s="2">
        <v>28206.55</v>
      </c>
      <c r="K87" s="2">
        <v>282.07</v>
      </c>
      <c r="L87" s="2">
        <v>5697.72</v>
      </c>
      <c r="M87" s="2">
        <v>1</v>
      </c>
    </row>
    <row r="88" spans="1:13" x14ac:dyDescent="0.3">
      <c r="A88" s="4" t="s">
        <v>179</v>
      </c>
      <c r="B88" s="2" t="s">
        <v>180</v>
      </c>
      <c r="C88" s="2" t="s">
        <v>180</v>
      </c>
      <c r="D88" s="2" t="s">
        <v>181</v>
      </c>
      <c r="E88" s="2">
        <v>0.74</v>
      </c>
      <c r="F88" s="2">
        <v>0.7</v>
      </c>
      <c r="G88" s="2">
        <v>11.2</v>
      </c>
      <c r="H88" s="2">
        <v>10</v>
      </c>
      <c r="I88" s="2">
        <v>112</v>
      </c>
      <c r="J88" s="2">
        <v>5723.24</v>
      </c>
      <c r="K88" s="2">
        <v>572.32000000000005</v>
      </c>
      <c r="L88" s="2">
        <v>1259.1099999999999</v>
      </c>
      <c r="M88" s="2">
        <v>10</v>
      </c>
    </row>
    <row r="89" spans="1:13" x14ac:dyDescent="0.3">
      <c r="A89" s="4" t="s">
        <v>182</v>
      </c>
      <c r="B89" s="2" t="s">
        <v>183</v>
      </c>
      <c r="C89" s="2" t="s">
        <v>183</v>
      </c>
      <c r="D89" s="2" t="s">
        <v>184</v>
      </c>
      <c r="E89" s="2">
        <v>1.431</v>
      </c>
      <c r="F89" s="2">
        <v>1.35</v>
      </c>
      <c r="G89" s="2">
        <v>107.8</v>
      </c>
      <c r="H89" s="2">
        <v>3</v>
      </c>
      <c r="I89" s="2">
        <v>323.39999999999998</v>
      </c>
      <c r="J89" s="2">
        <v>16521.490000000002</v>
      </c>
      <c r="K89" s="2">
        <v>660.86</v>
      </c>
      <c r="L89" s="2">
        <v>3436.47</v>
      </c>
      <c r="M89" s="2">
        <v>4</v>
      </c>
    </row>
    <row r="90" spans="1:13" x14ac:dyDescent="0.3">
      <c r="A90" s="4" t="s">
        <v>185</v>
      </c>
      <c r="B90" s="2" t="s">
        <v>255</v>
      </c>
      <c r="C90" s="2" t="s">
        <v>263</v>
      </c>
      <c r="D90" s="2" t="s">
        <v>186</v>
      </c>
      <c r="E90" s="2">
        <v>1.91</v>
      </c>
      <c r="F90" s="2">
        <v>1.8</v>
      </c>
      <c r="G90" s="2">
        <v>7</v>
      </c>
      <c r="H90" s="2">
        <v>10</v>
      </c>
      <c r="I90" s="2">
        <v>70</v>
      </c>
      <c r="J90" s="2">
        <v>3585.98</v>
      </c>
      <c r="K90" s="2">
        <v>358.6</v>
      </c>
      <c r="L90" s="2">
        <v>788.92</v>
      </c>
      <c r="M90" s="2">
        <v>10</v>
      </c>
    </row>
    <row r="91" spans="1:13" x14ac:dyDescent="0.3">
      <c r="A91" s="4" t="s">
        <v>185</v>
      </c>
      <c r="B91" s="2" t="s">
        <v>256</v>
      </c>
      <c r="C91" s="2" t="s">
        <v>256</v>
      </c>
      <c r="D91" s="2" t="s">
        <v>186</v>
      </c>
      <c r="E91" s="2">
        <v>1.91</v>
      </c>
      <c r="F91" s="2">
        <v>1.8</v>
      </c>
      <c r="G91" s="2">
        <v>7.5</v>
      </c>
      <c r="H91" s="2">
        <v>10</v>
      </c>
      <c r="I91" s="2">
        <v>75</v>
      </c>
      <c r="J91" s="2">
        <v>3841.27</v>
      </c>
      <c r="K91" s="2">
        <v>384.13</v>
      </c>
      <c r="L91" s="2">
        <v>845.08</v>
      </c>
      <c r="M91" s="2">
        <v>10</v>
      </c>
    </row>
    <row r="92" spans="1:13" x14ac:dyDescent="0.3">
      <c r="A92" s="4" t="s">
        <v>185</v>
      </c>
      <c r="B92" s="2" t="s">
        <v>257</v>
      </c>
      <c r="C92" s="2" t="s">
        <v>257</v>
      </c>
      <c r="D92" s="2" t="s">
        <v>186</v>
      </c>
      <c r="E92" s="2">
        <v>2.02</v>
      </c>
      <c r="F92" s="2">
        <v>1.9</v>
      </c>
      <c r="G92" s="2">
        <v>7</v>
      </c>
      <c r="H92" s="2">
        <v>10</v>
      </c>
      <c r="I92" s="2">
        <v>70</v>
      </c>
      <c r="J92" s="2">
        <v>3586.66</v>
      </c>
      <c r="K92" s="2">
        <v>358.67</v>
      </c>
      <c r="L92" s="2">
        <v>789.07</v>
      </c>
      <c r="M92" s="2">
        <v>10</v>
      </c>
    </row>
    <row r="93" spans="1:13" x14ac:dyDescent="0.3">
      <c r="A93" s="4" t="s">
        <v>185</v>
      </c>
      <c r="B93" s="2" t="s">
        <v>187</v>
      </c>
      <c r="C93" s="2" t="s">
        <v>187</v>
      </c>
      <c r="D93" s="2" t="s">
        <v>188</v>
      </c>
      <c r="E93" s="2">
        <v>0.318</v>
      </c>
      <c r="F93" s="2">
        <v>0.3</v>
      </c>
      <c r="G93" s="2">
        <v>10.1</v>
      </c>
      <c r="H93" s="2">
        <v>2</v>
      </c>
      <c r="I93" s="2">
        <v>20.2</v>
      </c>
      <c r="J93" s="2">
        <v>1033.3699999999999</v>
      </c>
      <c r="K93" s="2">
        <v>103.34</v>
      </c>
      <c r="L93" s="2">
        <v>227.34</v>
      </c>
      <c r="M93" s="2">
        <v>10</v>
      </c>
    </row>
    <row r="94" spans="1:13" x14ac:dyDescent="0.3">
      <c r="A94" s="4" t="s">
        <v>185</v>
      </c>
      <c r="B94" s="2" t="s">
        <v>258</v>
      </c>
      <c r="C94" s="2" t="s">
        <v>258</v>
      </c>
      <c r="D94" s="2" t="s">
        <v>189</v>
      </c>
      <c r="E94" s="2">
        <v>5.73</v>
      </c>
      <c r="F94" s="2">
        <v>5.4</v>
      </c>
      <c r="G94" s="2">
        <v>14.9</v>
      </c>
      <c r="H94" s="2">
        <v>30</v>
      </c>
      <c r="I94" s="2">
        <v>447</v>
      </c>
      <c r="J94" s="2">
        <v>22859.03</v>
      </c>
      <c r="K94" s="2">
        <v>2285.9</v>
      </c>
      <c r="L94" s="2">
        <v>5028.99</v>
      </c>
      <c r="M94" s="2">
        <v>10</v>
      </c>
    </row>
    <row r="95" spans="1:13" x14ac:dyDescent="0.3">
      <c r="A95" s="4" t="s">
        <v>185</v>
      </c>
      <c r="B95" s="2" t="s">
        <v>259</v>
      </c>
      <c r="C95" s="2" t="s">
        <v>259</v>
      </c>
      <c r="D95" s="2" t="s">
        <v>190</v>
      </c>
      <c r="E95" s="2">
        <v>1.496</v>
      </c>
      <c r="F95" s="2">
        <v>1.41</v>
      </c>
      <c r="G95" s="2">
        <v>122.9</v>
      </c>
      <c r="H95" s="2">
        <v>2</v>
      </c>
      <c r="I95" s="2">
        <v>245.8</v>
      </c>
      <c r="J95" s="2">
        <v>12559.68</v>
      </c>
      <c r="K95" s="2">
        <v>1255.97</v>
      </c>
      <c r="L95" s="2">
        <v>2763.13</v>
      </c>
      <c r="M95" s="2">
        <v>10</v>
      </c>
    </row>
    <row r="96" spans="1:13" x14ac:dyDescent="0.3">
      <c r="A96" s="4" t="s">
        <v>185</v>
      </c>
      <c r="B96" s="2" t="s">
        <v>260</v>
      </c>
      <c r="C96" s="2" t="s">
        <v>260</v>
      </c>
      <c r="D96" s="2" t="s">
        <v>191</v>
      </c>
      <c r="E96" s="2">
        <v>5.2350000000000003</v>
      </c>
      <c r="F96" s="2">
        <v>4.9349999999999996</v>
      </c>
      <c r="G96" s="2">
        <v>40</v>
      </c>
      <c r="H96" s="2">
        <v>3</v>
      </c>
      <c r="I96" s="2">
        <v>120</v>
      </c>
      <c r="J96" s="2">
        <v>6159.52</v>
      </c>
      <c r="K96" s="2">
        <v>615.95000000000005</v>
      </c>
      <c r="L96" s="2">
        <v>1355.09</v>
      </c>
      <c r="M96" s="2">
        <v>10</v>
      </c>
    </row>
    <row r="97" spans="1:13" x14ac:dyDescent="0.3">
      <c r="A97" s="4" t="s">
        <v>185</v>
      </c>
      <c r="B97" s="2" t="s">
        <v>261</v>
      </c>
      <c r="C97" s="2" t="s">
        <v>261</v>
      </c>
      <c r="D97" s="2" t="s">
        <v>192</v>
      </c>
      <c r="E97" s="2">
        <v>2.6520000000000001</v>
      </c>
      <c r="F97" s="2">
        <v>2.5</v>
      </c>
      <c r="G97" s="2">
        <v>29.8</v>
      </c>
      <c r="H97" s="2">
        <v>2</v>
      </c>
      <c r="I97" s="2">
        <v>59.6</v>
      </c>
      <c r="J97" s="2">
        <v>3059.55</v>
      </c>
      <c r="K97" s="2">
        <v>305.95999999999998</v>
      </c>
      <c r="L97" s="2">
        <v>673.1</v>
      </c>
      <c r="M97" s="2">
        <v>10</v>
      </c>
    </row>
    <row r="98" spans="1:13" x14ac:dyDescent="0.3">
      <c r="A98" s="4" t="s">
        <v>185</v>
      </c>
      <c r="B98" s="2" t="s">
        <v>193</v>
      </c>
      <c r="C98" s="2" t="s">
        <v>193</v>
      </c>
      <c r="D98" s="2" t="s">
        <v>194</v>
      </c>
      <c r="E98" s="2">
        <v>1.22</v>
      </c>
      <c r="F98" s="2">
        <v>1.1499999999999999</v>
      </c>
      <c r="G98" s="2">
        <v>12.2</v>
      </c>
      <c r="H98" s="2">
        <v>10</v>
      </c>
      <c r="I98" s="2">
        <v>122</v>
      </c>
      <c r="J98" s="2">
        <v>6236.8</v>
      </c>
      <c r="K98" s="2">
        <v>623.67999999999995</v>
      </c>
      <c r="L98" s="2">
        <v>1372.1</v>
      </c>
      <c r="M98" s="2">
        <v>10</v>
      </c>
    </row>
    <row r="99" spans="1:13" x14ac:dyDescent="0.3">
      <c r="A99" s="4" t="s">
        <v>185</v>
      </c>
      <c r="B99" s="2" t="s">
        <v>195</v>
      </c>
      <c r="C99" s="2" t="s">
        <v>195</v>
      </c>
      <c r="D99" s="2" t="s">
        <v>196</v>
      </c>
      <c r="E99" s="2">
        <v>2.3439999999999999</v>
      </c>
      <c r="F99" s="2">
        <v>2.21</v>
      </c>
      <c r="G99" s="2">
        <v>31.2</v>
      </c>
      <c r="H99" s="2">
        <v>2</v>
      </c>
      <c r="I99" s="2">
        <v>62.4</v>
      </c>
      <c r="J99" s="2">
        <v>3200.61</v>
      </c>
      <c r="K99" s="2">
        <v>320.06</v>
      </c>
      <c r="L99" s="2">
        <v>704.13</v>
      </c>
      <c r="M99" s="2">
        <v>10</v>
      </c>
    </row>
    <row r="100" spans="1:13" x14ac:dyDescent="0.3">
      <c r="A100" s="4" t="s">
        <v>185</v>
      </c>
      <c r="B100" s="2" t="s">
        <v>197</v>
      </c>
      <c r="C100" s="2" t="s">
        <v>197</v>
      </c>
      <c r="D100" s="2" t="s">
        <v>198</v>
      </c>
      <c r="E100" s="2">
        <v>3.12</v>
      </c>
      <c r="F100" s="2">
        <v>2.94</v>
      </c>
      <c r="G100" s="2">
        <v>28.6</v>
      </c>
      <c r="H100" s="2">
        <v>3</v>
      </c>
      <c r="I100" s="2">
        <v>85.8</v>
      </c>
      <c r="J100" s="2">
        <v>4400.2</v>
      </c>
      <c r="K100" s="2">
        <v>440.02</v>
      </c>
      <c r="L100" s="2">
        <v>968.04</v>
      </c>
      <c r="M100" s="2">
        <v>10</v>
      </c>
    </row>
    <row r="101" spans="1:13" x14ac:dyDescent="0.3">
      <c r="A101" s="4" t="s">
        <v>185</v>
      </c>
      <c r="B101" s="2" t="s">
        <v>199</v>
      </c>
      <c r="C101" s="2" t="s">
        <v>199</v>
      </c>
      <c r="D101" s="2" t="s">
        <v>200</v>
      </c>
      <c r="E101" s="2">
        <v>8.1679999999999993</v>
      </c>
      <c r="F101" s="2">
        <v>7.7</v>
      </c>
      <c r="G101" s="2">
        <v>28.5</v>
      </c>
      <c r="H101" s="2">
        <v>4</v>
      </c>
      <c r="I101" s="2">
        <v>114</v>
      </c>
      <c r="J101" s="2">
        <v>5871.3</v>
      </c>
      <c r="K101" s="2">
        <v>587.13</v>
      </c>
      <c r="L101" s="2">
        <v>1291.69</v>
      </c>
      <c r="M101" s="2">
        <v>10</v>
      </c>
    </row>
    <row r="102" spans="1:13" x14ac:dyDescent="0.3">
      <c r="A102" s="4" t="s">
        <v>185</v>
      </c>
      <c r="B102" s="2" t="s">
        <v>201</v>
      </c>
      <c r="C102" s="2" t="s">
        <v>201</v>
      </c>
      <c r="D102" s="2" t="s">
        <v>202</v>
      </c>
      <c r="E102" s="2">
        <v>5.952</v>
      </c>
      <c r="F102" s="2">
        <v>5.61</v>
      </c>
      <c r="G102" s="2">
        <v>33</v>
      </c>
      <c r="H102" s="2">
        <v>3</v>
      </c>
      <c r="I102" s="2">
        <v>99</v>
      </c>
      <c r="J102" s="2">
        <v>5091.7</v>
      </c>
      <c r="K102" s="2">
        <v>509.17</v>
      </c>
      <c r="L102" s="2">
        <v>1120.17</v>
      </c>
      <c r="M102" s="2">
        <v>10</v>
      </c>
    </row>
    <row r="103" spans="1:13" x14ac:dyDescent="0.3">
      <c r="A103" s="4" t="s">
        <v>185</v>
      </c>
      <c r="B103" s="2" t="s">
        <v>203</v>
      </c>
      <c r="C103" s="2" t="s">
        <v>203</v>
      </c>
      <c r="D103" s="2" t="s">
        <v>204</v>
      </c>
      <c r="E103" s="2">
        <v>0.16500000000000001</v>
      </c>
      <c r="F103" s="2">
        <v>0.15</v>
      </c>
      <c r="G103" s="2">
        <v>10</v>
      </c>
      <c r="H103" s="2">
        <v>15</v>
      </c>
      <c r="I103" s="2">
        <v>150</v>
      </c>
      <c r="J103" s="2">
        <v>7659.95</v>
      </c>
      <c r="K103" s="2">
        <v>766</v>
      </c>
      <c r="L103" s="2">
        <v>1685.19</v>
      </c>
      <c r="M103" s="2">
        <v>10</v>
      </c>
    </row>
    <row r="104" spans="1:13" x14ac:dyDescent="0.3">
      <c r="A104" s="4" t="s">
        <v>185</v>
      </c>
      <c r="B104" s="2" t="s">
        <v>205</v>
      </c>
      <c r="C104" s="2" t="s">
        <v>205</v>
      </c>
      <c r="D104" s="2" t="s">
        <v>206</v>
      </c>
      <c r="E104" s="2">
        <v>4.2149999999999999</v>
      </c>
      <c r="F104" s="2">
        <v>3.9750000000000001</v>
      </c>
      <c r="G104" s="2">
        <v>9.4</v>
      </c>
      <c r="H104" s="2">
        <v>15</v>
      </c>
      <c r="I104" s="2">
        <v>141</v>
      </c>
      <c r="J104" s="2">
        <v>7225.46</v>
      </c>
      <c r="K104" s="2">
        <v>722.55</v>
      </c>
      <c r="L104" s="2">
        <v>1589.6</v>
      </c>
      <c r="M104" s="2">
        <v>10</v>
      </c>
    </row>
    <row r="105" spans="1:13" x14ac:dyDescent="0.3">
      <c r="A105" s="4" t="s">
        <v>185</v>
      </c>
      <c r="B105" s="2" t="s">
        <v>207</v>
      </c>
      <c r="C105" s="2" t="s">
        <v>207</v>
      </c>
      <c r="D105" s="2" t="s">
        <v>208</v>
      </c>
      <c r="E105" s="2">
        <v>2.625</v>
      </c>
      <c r="F105" s="2">
        <v>2.4750000000000001</v>
      </c>
      <c r="G105" s="2">
        <v>14.2</v>
      </c>
      <c r="H105" s="2">
        <v>5</v>
      </c>
      <c r="I105" s="2">
        <v>71</v>
      </c>
      <c r="J105" s="2">
        <v>3641.46</v>
      </c>
      <c r="K105" s="2">
        <v>364.15</v>
      </c>
      <c r="L105" s="2">
        <v>801.12</v>
      </c>
      <c r="M105" s="2">
        <v>10</v>
      </c>
    </row>
    <row r="106" spans="1:13" x14ac:dyDescent="0.3">
      <c r="A106" s="4" t="s">
        <v>185</v>
      </c>
      <c r="B106" s="2" t="s">
        <v>209</v>
      </c>
      <c r="C106" s="2" t="s">
        <v>209</v>
      </c>
      <c r="D106" s="2" t="s">
        <v>210</v>
      </c>
      <c r="E106" s="2">
        <v>1.718</v>
      </c>
      <c r="F106" s="2">
        <v>1.62</v>
      </c>
      <c r="G106" s="2">
        <v>22.7</v>
      </c>
      <c r="H106" s="2">
        <v>2</v>
      </c>
      <c r="I106" s="2">
        <v>45.4</v>
      </c>
      <c r="J106" s="2">
        <v>2328.73</v>
      </c>
      <c r="K106" s="2">
        <v>232.87</v>
      </c>
      <c r="L106" s="2">
        <v>512.32000000000005</v>
      </c>
      <c r="M106" s="2">
        <v>10</v>
      </c>
    </row>
    <row r="107" spans="1:13" x14ac:dyDescent="0.3">
      <c r="A107" s="4" t="s">
        <v>185</v>
      </c>
      <c r="B107" s="2" t="s">
        <v>211</v>
      </c>
      <c r="C107" s="2" t="s">
        <v>211</v>
      </c>
      <c r="D107" s="2" t="s">
        <v>212</v>
      </c>
      <c r="E107" s="2">
        <v>1.9</v>
      </c>
      <c r="F107" s="2">
        <v>1.8</v>
      </c>
      <c r="G107" s="2">
        <v>9.9</v>
      </c>
      <c r="H107" s="2">
        <v>20</v>
      </c>
      <c r="I107" s="2">
        <v>198</v>
      </c>
      <c r="J107" s="2">
        <v>10121.530000000001</v>
      </c>
      <c r="K107" s="2">
        <v>1012.15</v>
      </c>
      <c r="L107" s="2">
        <v>2226.7399999999998</v>
      </c>
      <c r="M107" s="2">
        <v>10</v>
      </c>
    </row>
    <row r="108" spans="1:13" x14ac:dyDescent="0.3">
      <c r="A108" s="4" t="s">
        <v>185</v>
      </c>
      <c r="B108" s="2" t="s">
        <v>213</v>
      </c>
      <c r="C108" s="2" t="s">
        <v>213</v>
      </c>
      <c r="D108" s="2" t="s">
        <v>214</v>
      </c>
      <c r="E108" s="2">
        <v>0.91200000000000003</v>
      </c>
      <c r="F108" s="2">
        <v>0.86</v>
      </c>
      <c r="G108" s="2">
        <v>26.6</v>
      </c>
      <c r="H108" s="2">
        <v>4</v>
      </c>
      <c r="I108" s="2">
        <v>106.4</v>
      </c>
      <c r="J108" s="2">
        <v>5438.37</v>
      </c>
      <c r="K108" s="2">
        <v>543.84</v>
      </c>
      <c r="L108" s="2">
        <v>1196.44</v>
      </c>
      <c r="M108" s="2">
        <v>10</v>
      </c>
    </row>
    <row r="109" spans="1:13" x14ac:dyDescent="0.3">
      <c r="A109" s="4" t="s">
        <v>185</v>
      </c>
      <c r="B109" s="2" t="s">
        <v>215</v>
      </c>
      <c r="C109" s="2" t="s">
        <v>215</v>
      </c>
      <c r="D109" s="2" t="s">
        <v>216</v>
      </c>
      <c r="E109" s="2">
        <v>8.49</v>
      </c>
      <c r="F109" s="2">
        <v>8</v>
      </c>
      <c r="G109" s="2">
        <v>21.5</v>
      </c>
      <c r="H109" s="2">
        <v>10</v>
      </c>
      <c r="I109" s="2">
        <v>215</v>
      </c>
      <c r="J109" s="2">
        <v>11030.3</v>
      </c>
      <c r="K109" s="2">
        <v>1103.03</v>
      </c>
      <c r="L109" s="2">
        <v>2426.67</v>
      </c>
      <c r="M109" s="2">
        <v>10</v>
      </c>
    </row>
    <row r="110" spans="1:13" x14ac:dyDescent="0.3">
      <c r="A110" s="6" t="s">
        <v>185</v>
      </c>
      <c r="B110" s="7" t="s">
        <v>217</v>
      </c>
      <c r="C110" s="2" t="s">
        <v>217</v>
      </c>
      <c r="D110" s="7" t="s">
        <v>218</v>
      </c>
      <c r="E110" s="7">
        <v>5.7</v>
      </c>
      <c r="F110" s="7">
        <v>5.4</v>
      </c>
      <c r="G110" s="7">
        <v>14.7</v>
      </c>
      <c r="H110" s="7">
        <v>30</v>
      </c>
      <c r="I110" s="7">
        <v>441</v>
      </c>
      <c r="J110" s="7">
        <v>22552.49</v>
      </c>
      <c r="K110" s="7">
        <v>2255.25</v>
      </c>
      <c r="L110" s="7">
        <v>4961.55</v>
      </c>
      <c r="M110" s="2">
        <v>10</v>
      </c>
    </row>
    <row r="111" spans="1:13" x14ac:dyDescent="0.3">
      <c r="A111" s="4" t="s">
        <v>185</v>
      </c>
      <c r="B111" s="2" t="s">
        <v>219</v>
      </c>
      <c r="C111" s="2" t="s">
        <v>219</v>
      </c>
      <c r="D111" s="2" t="s">
        <v>220</v>
      </c>
      <c r="E111" s="2">
        <v>1.33</v>
      </c>
      <c r="F111" s="2">
        <v>1.25</v>
      </c>
      <c r="G111" s="2">
        <v>7.7</v>
      </c>
      <c r="H111" s="2">
        <v>10</v>
      </c>
      <c r="I111" s="2">
        <v>77</v>
      </c>
      <c r="J111" s="2">
        <v>3939.81</v>
      </c>
      <c r="K111" s="2">
        <v>393.98</v>
      </c>
      <c r="L111" s="2">
        <v>866.76</v>
      </c>
      <c r="M111" s="2">
        <v>10</v>
      </c>
    </row>
    <row r="112" spans="1:13" x14ac:dyDescent="0.3">
      <c r="A112" s="6" t="s">
        <v>185</v>
      </c>
      <c r="B112" s="7" t="s">
        <v>221</v>
      </c>
      <c r="C112" s="2" t="s">
        <v>221</v>
      </c>
      <c r="D112" s="7" t="s">
        <v>220</v>
      </c>
      <c r="E112" s="7">
        <v>1.43</v>
      </c>
      <c r="F112" s="7">
        <v>1.35</v>
      </c>
      <c r="G112" s="7">
        <v>10.3</v>
      </c>
      <c r="H112" s="7">
        <v>10</v>
      </c>
      <c r="I112" s="7">
        <v>103</v>
      </c>
      <c r="J112" s="7">
        <v>5267.97</v>
      </c>
      <c r="K112" s="7">
        <v>526.79999999999995</v>
      </c>
      <c r="L112" s="7">
        <v>1158.95</v>
      </c>
      <c r="M112" s="2">
        <v>10</v>
      </c>
    </row>
    <row r="113" spans="1:13" x14ac:dyDescent="0.3">
      <c r="A113" s="4" t="s">
        <v>185</v>
      </c>
      <c r="B113" s="2" t="s">
        <v>222</v>
      </c>
      <c r="C113" s="2" t="s">
        <v>222</v>
      </c>
      <c r="D113" s="2" t="s">
        <v>220</v>
      </c>
      <c r="E113" s="2">
        <v>2.2799999999999998</v>
      </c>
      <c r="F113" s="2">
        <v>2.15</v>
      </c>
      <c r="G113" s="2">
        <v>18.2</v>
      </c>
      <c r="H113" s="2">
        <v>10</v>
      </c>
      <c r="I113" s="2">
        <v>182</v>
      </c>
      <c r="J113" s="2">
        <v>9306.93</v>
      </c>
      <c r="K113" s="2">
        <v>930.69</v>
      </c>
      <c r="L113" s="2">
        <v>2047.52</v>
      </c>
      <c r="M113" s="2">
        <v>10</v>
      </c>
    </row>
    <row r="114" spans="1:13" x14ac:dyDescent="0.3">
      <c r="A114" s="4" t="s">
        <v>185</v>
      </c>
      <c r="B114" s="2" t="s">
        <v>262</v>
      </c>
      <c r="C114" s="2" t="s">
        <v>262</v>
      </c>
      <c r="D114" s="2" t="s">
        <v>223</v>
      </c>
      <c r="E114" s="2">
        <v>47.587000000000003</v>
      </c>
      <c r="F114" s="2">
        <v>44.85</v>
      </c>
      <c r="G114" s="2">
        <v>70</v>
      </c>
      <c r="H114" s="2">
        <v>23</v>
      </c>
      <c r="I114" s="2">
        <v>1610</v>
      </c>
      <c r="J114" s="5">
        <f>SUM(82500.09,-0.02)</f>
        <v>82500.069999999992</v>
      </c>
      <c r="K114" s="5">
        <f>SUM(8250.01,-0.03)</f>
        <v>8249.98</v>
      </c>
      <c r="L114" s="5">
        <f>SUM(18150.02,-0.01)</f>
        <v>18150.010000000002</v>
      </c>
      <c r="M114" s="2">
        <v>10</v>
      </c>
    </row>
    <row r="115" spans="1:13" x14ac:dyDescent="0.3">
      <c r="A115" s="4" t="s">
        <v>224</v>
      </c>
      <c r="B115" s="2" t="s">
        <v>225</v>
      </c>
      <c r="C115" s="2" t="s">
        <v>225</v>
      </c>
      <c r="D115" s="2" t="s">
        <v>226</v>
      </c>
      <c r="E115" s="2">
        <v>5.4320000000000004</v>
      </c>
      <c r="F115" s="2">
        <v>5.12</v>
      </c>
      <c r="G115" s="2">
        <v>109.3</v>
      </c>
      <c r="H115" s="2">
        <v>2</v>
      </c>
      <c r="I115" s="2">
        <v>218.6</v>
      </c>
      <c r="J115" s="2">
        <v>11195.2</v>
      </c>
      <c r="K115" s="2">
        <v>559.76</v>
      </c>
      <c r="L115" s="2">
        <v>2350.9899999999998</v>
      </c>
      <c r="M115" s="2">
        <v>5</v>
      </c>
    </row>
    <row r="116" spans="1:13" x14ac:dyDescent="0.3">
      <c r="A116" s="4" t="s">
        <v>227</v>
      </c>
      <c r="B116" s="2" t="s">
        <v>228</v>
      </c>
      <c r="C116" s="2" t="s">
        <v>228</v>
      </c>
      <c r="D116" s="2" t="s">
        <v>229</v>
      </c>
      <c r="E116" s="2">
        <v>6.2460000000000004</v>
      </c>
      <c r="F116" s="2">
        <v>5.89</v>
      </c>
      <c r="G116" s="2">
        <v>58</v>
      </c>
      <c r="H116" s="2">
        <v>2</v>
      </c>
      <c r="I116" s="2">
        <v>116</v>
      </c>
      <c r="J116" s="2">
        <v>5961.53</v>
      </c>
      <c r="K116" s="2">
        <v>596.15</v>
      </c>
      <c r="L116" s="2">
        <v>1311.54</v>
      </c>
      <c r="M116" s="2">
        <v>10</v>
      </c>
    </row>
    <row r="117" spans="1:13" x14ac:dyDescent="0.3">
      <c r="A117" s="4" t="s">
        <v>227</v>
      </c>
      <c r="B117" s="2" t="s">
        <v>230</v>
      </c>
      <c r="C117" s="2" t="s">
        <v>230</v>
      </c>
      <c r="D117" s="2" t="s">
        <v>231</v>
      </c>
      <c r="E117" s="2">
        <v>2.4900000000000002</v>
      </c>
      <c r="F117" s="2">
        <v>2.35</v>
      </c>
      <c r="G117" s="2">
        <v>13.3</v>
      </c>
      <c r="H117" s="2">
        <v>10</v>
      </c>
      <c r="I117" s="2">
        <v>133</v>
      </c>
      <c r="J117" s="2">
        <v>6806.31</v>
      </c>
      <c r="K117" s="2">
        <v>680.63</v>
      </c>
      <c r="L117" s="2">
        <v>1497.39</v>
      </c>
      <c r="M117" s="2">
        <v>10</v>
      </c>
    </row>
    <row r="118" spans="1:13" x14ac:dyDescent="0.3">
      <c r="A118" s="4" t="s">
        <v>227</v>
      </c>
      <c r="B118" s="2" t="s">
        <v>232</v>
      </c>
      <c r="C118" s="2" t="s">
        <v>232</v>
      </c>
      <c r="D118" s="2" t="s">
        <v>231</v>
      </c>
      <c r="E118" s="2">
        <v>1.49</v>
      </c>
      <c r="F118" s="2">
        <v>1.4</v>
      </c>
      <c r="G118" s="2">
        <v>9.3000000000000007</v>
      </c>
      <c r="H118" s="2">
        <v>10</v>
      </c>
      <c r="I118" s="2">
        <v>93</v>
      </c>
      <c r="J118" s="2">
        <v>4757.75</v>
      </c>
      <c r="K118" s="2">
        <v>475.78</v>
      </c>
      <c r="L118" s="2">
        <v>1046.71</v>
      </c>
      <c r="M118" s="2">
        <v>10</v>
      </c>
    </row>
    <row r="119" spans="1:13" x14ac:dyDescent="0.3">
      <c r="A119" s="4" t="s">
        <v>227</v>
      </c>
      <c r="B119" s="2" t="s">
        <v>233</v>
      </c>
      <c r="C119" s="2" t="s">
        <v>233</v>
      </c>
      <c r="D119" s="2" t="s">
        <v>234</v>
      </c>
      <c r="E119" s="2">
        <v>10.311</v>
      </c>
      <c r="F119" s="2">
        <v>9.7200000000000006</v>
      </c>
      <c r="G119" s="2">
        <v>59.8</v>
      </c>
      <c r="H119" s="2">
        <v>3</v>
      </c>
      <c r="I119" s="2">
        <v>179.4</v>
      </c>
      <c r="J119" s="2">
        <v>9223.84</v>
      </c>
      <c r="K119" s="2">
        <v>922.38</v>
      </c>
      <c r="L119" s="2">
        <v>2029.24</v>
      </c>
      <c r="M119" s="2">
        <v>10</v>
      </c>
    </row>
    <row r="120" spans="1:13" x14ac:dyDescent="0.3">
      <c r="A120" s="6" t="s">
        <v>227</v>
      </c>
      <c r="B120" s="7" t="s">
        <v>235</v>
      </c>
      <c r="C120" s="2" t="s">
        <v>235</v>
      </c>
      <c r="D120" s="7" t="s">
        <v>236</v>
      </c>
      <c r="E120" s="7">
        <v>1.7</v>
      </c>
      <c r="F120" s="7">
        <v>1.6</v>
      </c>
      <c r="G120" s="7">
        <v>24</v>
      </c>
      <c r="H120" s="7">
        <v>10</v>
      </c>
      <c r="I120" s="7">
        <v>240</v>
      </c>
      <c r="J120" s="8">
        <f>SUM(12264.79,0.01)</f>
        <v>12264.800000000001</v>
      </c>
      <c r="K120" s="7">
        <v>1226.48</v>
      </c>
      <c r="L120" s="7">
        <v>2698.25</v>
      </c>
      <c r="M120" s="2">
        <v>10</v>
      </c>
    </row>
    <row r="121" spans="1:13" x14ac:dyDescent="0.3">
      <c r="A121" s="4" t="s">
        <v>227</v>
      </c>
      <c r="B121" s="2" t="s">
        <v>237</v>
      </c>
      <c r="C121" s="2" t="s">
        <v>237</v>
      </c>
      <c r="D121" s="2" t="s">
        <v>238</v>
      </c>
      <c r="E121" s="2">
        <v>2.3540000000000001</v>
      </c>
      <c r="F121" s="2">
        <v>2.2200000000000002</v>
      </c>
      <c r="G121" s="2">
        <v>24.7</v>
      </c>
      <c r="H121" s="2">
        <v>2</v>
      </c>
      <c r="I121" s="2">
        <v>49.4</v>
      </c>
      <c r="J121" s="2">
        <v>2536.9</v>
      </c>
      <c r="K121" s="2">
        <v>253.69</v>
      </c>
      <c r="L121" s="2">
        <v>558.12</v>
      </c>
      <c r="M121" s="2">
        <v>10</v>
      </c>
    </row>
    <row r="122" spans="1:13" x14ac:dyDescent="0.3">
      <c r="A122" s="4" t="s">
        <v>227</v>
      </c>
      <c r="B122" s="2" t="s">
        <v>239</v>
      </c>
      <c r="C122" s="2" t="s">
        <v>239</v>
      </c>
      <c r="D122" s="2" t="s">
        <v>240</v>
      </c>
      <c r="E122" s="2">
        <v>3.18</v>
      </c>
      <c r="F122" s="2">
        <v>3</v>
      </c>
      <c r="G122" s="2">
        <v>32.6</v>
      </c>
      <c r="H122" s="2">
        <v>6</v>
      </c>
      <c r="I122" s="2">
        <v>195.6</v>
      </c>
      <c r="J122" s="2">
        <v>10006.9</v>
      </c>
      <c r="K122" s="2">
        <v>1000.69</v>
      </c>
      <c r="L122" s="2">
        <v>2201.52</v>
      </c>
      <c r="M122" s="2">
        <v>10</v>
      </c>
    </row>
    <row r="123" spans="1:13" x14ac:dyDescent="0.3">
      <c r="A123" s="4" t="s">
        <v>241</v>
      </c>
      <c r="B123" s="2" t="s">
        <v>242</v>
      </c>
      <c r="C123" s="2" t="s">
        <v>242</v>
      </c>
      <c r="D123" s="2" t="s">
        <v>243</v>
      </c>
      <c r="E123" s="2">
        <v>0.29599999999999999</v>
      </c>
      <c r="F123" s="2">
        <v>0.28000000000000003</v>
      </c>
      <c r="G123" s="2">
        <v>15.7</v>
      </c>
      <c r="H123" s="2">
        <v>4</v>
      </c>
      <c r="I123" s="2">
        <v>62.8</v>
      </c>
      <c r="J123" s="2">
        <v>3208.37</v>
      </c>
      <c r="K123" s="2">
        <v>0</v>
      </c>
      <c r="L123" s="2">
        <v>641.66999999999996</v>
      </c>
      <c r="M123" s="2">
        <v>0</v>
      </c>
    </row>
    <row r="124" spans="1:13" x14ac:dyDescent="0.3">
      <c r="A124" s="6" t="s">
        <v>241</v>
      </c>
      <c r="B124" s="7" t="s">
        <v>244</v>
      </c>
      <c r="C124" s="2" t="s">
        <v>244</v>
      </c>
      <c r="D124" s="7" t="s">
        <v>245</v>
      </c>
      <c r="E124" s="7">
        <v>0.42499999999999999</v>
      </c>
      <c r="F124" s="7">
        <v>0.4</v>
      </c>
      <c r="G124" s="7">
        <v>28.1</v>
      </c>
      <c r="H124" s="7">
        <v>5</v>
      </c>
      <c r="I124" s="7">
        <v>140.5</v>
      </c>
      <c r="J124" s="7">
        <v>7176.49</v>
      </c>
      <c r="K124" s="7">
        <v>0</v>
      </c>
      <c r="L124" s="7">
        <v>1435.3</v>
      </c>
      <c r="M124" s="2">
        <v>0</v>
      </c>
    </row>
    <row r="125" spans="1:13" x14ac:dyDescent="0.3">
      <c r="A125" s="4" t="s">
        <v>241</v>
      </c>
      <c r="B125" s="2" t="s">
        <v>246</v>
      </c>
      <c r="C125" s="2" t="s">
        <v>246</v>
      </c>
      <c r="D125" s="2" t="s">
        <v>247</v>
      </c>
      <c r="E125" s="2">
        <v>0.5</v>
      </c>
      <c r="F125" s="2">
        <v>0.48</v>
      </c>
      <c r="G125" s="2">
        <v>19.3</v>
      </c>
      <c r="H125" s="2">
        <v>20</v>
      </c>
      <c r="I125" s="2">
        <v>386</v>
      </c>
      <c r="J125" s="5">
        <f>SUM(19712.06,-0.01)</f>
        <v>19712.050000000003</v>
      </c>
      <c r="K125" s="2">
        <v>0</v>
      </c>
      <c r="L125" s="2">
        <v>3942.41</v>
      </c>
      <c r="M125" s="2">
        <v>0</v>
      </c>
    </row>
    <row r="126" spans="1:13" x14ac:dyDescent="0.3">
      <c r="A126" s="6" t="s">
        <v>248</v>
      </c>
      <c r="B126" s="7" t="s">
        <v>249</v>
      </c>
      <c r="C126" s="7" t="s">
        <v>249</v>
      </c>
      <c r="D126" s="7" t="s">
        <v>250</v>
      </c>
      <c r="E126" s="7">
        <v>11.055</v>
      </c>
      <c r="F126" s="7">
        <v>10.425000000000001</v>
      </c>
      <c r="G126" s="7">
        <v>91</v>
      </c>
      <c r="H126" s="7">
        <v>15</v>
      </c>
      <c r="I126" s="7">
        <v>1365</v>
      </c>
      <c r="J126" s="7">
        <v>69764.59</v>
      </c>
      <c r="K126" s="7">
        <v>0</v>
      </c>
      <c r="L126" s="7">
        <v>13952.92</v>
      </c>
      <c r="M126" s="7">
        <v>0</v>
      </c>
    </row>
    <row r="127" spans="1:13" x14ac:dyDescent="0.3">
      <c r="E127">
        <f>SUM(E5:E126)</f>
        <v>942.46000000000026</v>
      </c>
      <c r="F127">
        <f t="shared" ref="F127:M127" si="0">SUM(F5:F126)</f>
        <v>888.4599999999997</v>
      </c>
      <c r="G127">
        <f t="shared" si="0"/>
        <v>2202.35</v>
      </c>
      <c r="H127">
        <f t="shared" si="0"/>
        <v>2216</v>
      </c>
      <c r="I127">
        <f t="shared" si="0"/>
        <v>21042.999999999996</v>
      </c>
      <c r="J127">
        <f t="shared" si="0"/>
        <v>1080273.5800000003</v>
      </c>
      <c r="K127">
        <f t="shared" si="0"/>
        <v>71567.37999999999</v>
      </c>
      <c r="L127">
        <f t="shared" si="0"/>
        <v>230368.18000000005</v>
      </c>
      <c r="M127">
        <f t="shared" si="0"/>
        <v>920</v>
      </c>
    </row>
    <row r="131" spans="5:5" x14ac:dyDescent="0.3">
      <c r="E131" s="9">
        <f>E127/F127</f>
        <v>1.0607793260248077</v>
      </c>
    </row>
    <row r="145" spans="6:12" x14ac:dyDescent="0.3">
      <c r="F145" s="10" t="s">
        <v>264</v>
      </c>
      <c r="G145" s="10" t="s">
        <v>265</v>
      </c>
      <c r="H145" s="10" t="s">
        <v>266</v>
      </c>
      <c r="I145" s="10" t="s">
        <v>267</v>
      </c>
      <c r="J145" s="10" t="s">
        <v>268</v>
      </c>
      <c r="K145" s="10" t="s">
        <v>269</v>
      </c>
      <c r="L145" s="10" t="s">
        <v>270</v>
      </c>
    </row>
    <row r="146" spans="6:12" x14ac:dyDescent="0.3">
      <c r="F146" s="11">
        <v>314986.46000000002</v>
      </c>
      <c r="G146" s="12"/>
      <c r="H146" s="12"/>
      <c r="I146" s="12"/>
      <c r="J146" s="12"/>
      <c r="K146" s="12" t="s">
        <v>271</v>
      </c>
      <c r="L146" s="11">
        <v>62997.29</v>
      </c>
    </row>
    <row r="147" spans="6:12" x14ac:dyDescent="0.3">
      <c r="F147" s="11">
        <v>28206.55</v>
      </c>
      <c r="G147" s="13">
        <v>1</v>
      </c>
      <c r="H147" s="13">
        <v>282.07</v>
      </c>
      <c r="I147" s="12"/>
      <c r="J147" s="12"/>
      <c r="K147" s="12" t="s">
        <v>271</v>
      </c>
      <c r="L147" s="11">
        <v>5697.72</v>
      </c>
    </row>
    <row r="148" spans="6:12" x14ac:dyDescent="0.3">
      <c r="F148" s="11">
        <v>16521.490000000002</v>
      </c>
      <c r="G148" s="13">
        <v>4</v>
      </c>
      <c r="H148" s="13">
        <v>660.86</v>
      </c>
      <c r="I148" s="12"/>
      <c r="J148" s="12"/>
      <c r="K148" s="12" t="s">
        <v>271</v>
      </c>
      <c r="L148" s="11">
        <v>3436.47</v>
      </c>
    </row>
    <row r="149" spans="6:12" x14ac:dyDescent="0.3">
      <c r="F149" s="11">
        <v>28628.99</v>
      </c>
      <c r="G149" s="13">
        <v>5</v>
      </c>
      <c r="H149" s="11">
        <v>1431.45</v>
      </c>
      <c r="I149" s="12"/>
      <c r="J149" s="12"/>
      <c r="K149" s="12" t="s">
        <v>271</v>
      </c>
      <c r="L149" s="11">
        <v>6012.09</v>
      </c>
    </row>
    <row r="150" spans="6:12" x14ac:dyDescent="0.3">
      <c r="F150" s="11">
        <v>691930.09</v>
      </c>
      <c r="G150" s="13">
        <v>10</v>
      </c>
      <c r="H150" s="11">
        <v>69193.009999999995</v>
      </c>
      <c r="I150" s="12"/>
      <c r="J150" s="12"/>
      <c r="K150" s="12" t="s">
        <v>271</v>
      </c>
      <c r="L150" s="11">
        <v>152224.62</v>
      </c>
    </row>
    <row r="151" spans="6:12" x14ac:dyDescent="0.3">
      <c r="F151" s="14">
        <f>SUM(F146:F150)</f>
        <v>1080273.58</v>
      </c>
      <c r="G151" s="14">
        <f t="shared" ref="G151:L151" si="1">SUM(G146:G150)</f>
        <v>20</v>
      </c>
      <c r="H151" s="14">
        <f t="shared" si="1"/>
        <v>71567.39</v>
      </c>
      <c r="I151" s="14">
        <f t="shared" si="1"/>
        <v>0</v>
      </c>
      <c r="J151" s="14">
        <f t="shared" si="1"/>
        <v>0</v>
      </c>
      <c r="K151" s="14">
        <f t="shared" si="1"/>
        <v>0</v>
      </c>
      <c r="L151" s="14">
        <f t="shared" si="1"/>
        <v>230368.19</v>
      </c>
    </row>
  </sheetData>
  <sortState xmlns:xlrd2="http://schemas.microsoft.com/office/spreadsheetml/2017/richdata2" ref="A5:M127">
    <sortCondition sortBy="cellColor" ref="A5:A127" dxfId="0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2026-07-20T16:37:17Z</dcterms:created>
  <dcterms:modified xsi:type="dcterms:W3CDTF">2026-07-21T13:34:51Z</dcterms:modified>
</cp:coreProperties>
</file>