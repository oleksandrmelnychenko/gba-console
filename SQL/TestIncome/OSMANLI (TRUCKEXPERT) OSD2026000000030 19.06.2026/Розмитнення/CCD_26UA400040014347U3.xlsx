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<sst xmlns="http://schemas.openxmlformats.org/spreadsheetml/2006/main" count="250">
  <si>
    <t>Список товарів електронного інвойсу МД № 26UA400040014347U3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</si>
  <si>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</si>
  <si>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</si>
  <si>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</si>
  <si>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</si>
  <si>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</si>
  <si>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</si>
  <si>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</si>
  <si>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</si>
  <si>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</si>
  <si>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</si>
  <si>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</si>
  <si>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</si>
  <si>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</si>
  <si>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</si>
  <si>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</si>
  <si>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</si>
  <si>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</si>
  <si>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</si>
  <si>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</si>
  <si>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</si>
  <si>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</si>
  <si>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</si>
  <si>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</si>
  <si>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</si>
  <si>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</si>
  <si>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</si>
  <si>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8708309198</t>
  </si>
  <si>
    <t>346 01 075</t>
  </si>
  <si>
    <t xml:space="preserve">Кронштейн супорта-2шт, </t>
  </si>
  <si>
    <t>TR</t>
  </si>
  <si>
    <t>OSMANLI OTOMOTIV SAN. ve DIS TIC. LTD. STI.</t>
  </si>
  <si>
    <t>TRUCKEXPERT</t>
  </si>
  <si>
    <t>796</t>
  </si>
  <si>
    <t/>
  </si>
  <si>
    <t>346 01 403</t>
  </si>
  <si>
    <t xml:space="preserve">Комплект ремонтний супорта-100шт, </t>
  </si>
  <si>
    <t>346 01 550</t>
  </si>
  <si>
    <t>346 00 062</t>
  </si>
  <si>
    <t xml:space="preserve">Комплект ремонтний підшипника супорта-60шт, </t>
  </si>
  <si>
    <t>346 01 134</t>
  </si>
  <si>
    <t xml:space="preserve">Комплект ремонтний направляючих супорта-50шт, </t>
  </si>
  <si>
    <t>346 00 113</t>
  </si>
  <si>
    <t xml:space="preserve">Комплект ремонтний направляючих супорта-40шт, </t>
  </si>
  <si>
    <t>346 00 069</t>
  </si>
  <si>
    <t xml:space="preserve">Кришка супорта пластмаса-30шт, </t>
  </si>
  <si>
    <t>346 02 048</t>
  </si>
  <si>
    <t xml:space="preserve">Комплект ремонтний важеля супорта-20шт, </t>
  </si>
  <si>
    <t>346 01 402</t>
  </si>
  <si>
    <t xml:space="preserve">Комплект ремонтний направляючих супорта-20шт, </t>
  </si>
  <si>
    <t>346 01 440</t>
  </si>
  <si>
    <t>346 00 085</t>
  </si>
  <si>
    <t xml:space="preserve">Комплект ремонтний супорта-20шт, </t>
  </si>
  <si>
    <t>346 00 440</t>
  </si>
  <si>
    <t xml:space="preserve">Комплект ремонтний направляючих супорта-18шт, </t>
  </si>
  <si>
    <t>346 00 057</t>
  </si>
  <si>
    <t xml:space="preserve">Важіль супорта-12шт, </t>
  </si>
  <si>
    <t>346 00 584</t>
  </si>
  <si>
    <t xml:space="preserve">Комплект втулок суппорта-12шт, </t>
  </si>
  <si>
    <t>346 01 141</t>
  </si>
  <si>
    <t xml:space="preserve">Блок приводу супорта з пружинами-10шт, </t>
  </si>
  <si>
    <t>346 00 111</t>
  </si>
  <si>
    <t xml:space="preserve">Комплект ремонтний супорта-10шт, </t>
  </si>
  <si>
    <t>346 00 305</t>
  </si>
  <si>
    <t>346 00 675</t>
  </si>
  <si>
    <t xml:space="preserve">Комплект ремонтний важеля супорта-8шт, </t>
  </si>
  <si>
    <t>346 00 725</t>
  </si>
  <si>
    <t xml:space="preserve">Пластина супорта нажимна лівого-8шт, </t>
  </si>
  <si>
    <t>346 00 533</t>
  </si>
  <si>
    <t xml:space="preserve">Комплект ремонтний механізму самопідводу-6шт, </t>
  </si>
  <si>
    <t>346 01 029</t>
  </si>
  <si>
    <t xml:space="preserve">Комплект ремонтний супорта-6шт, </t>
  </si>
  <si>
    <t>346 00 764</t>
  </si>
  <si>
    <t xml:space="preserve">Комплект пиловиків супорта-4шт, </t>
  </si>
  <si>
    <t>346 01 062</t>
  </si>
  <si>
    <t xml:space="preserve">Комплект ремонтний важеля супорта-4шт, </t>
  </si>
  <si>
    <t>346 00 993</t>
  </si>
  <si>
    <t xml:space="preserve">Комплект ремонтний підшипника супорта-4шт, </t>
  </si>
  <si>
    <t>346 01 046</t>
  </si>
  <si>
    <t xml:space="preserve">Комплект ремонтний підшипника супорта гальмівного-4шт, </t>
  </si>
  <si>
    <t>346 02 024</t>
  </si>
  <si>
    <t xml:space="preserve">Комплект ремонтний саморегулятора-4шт, </t>
  </si>
  <si>
    <t>346 00 281</t>
  </si>
  <si>
    <t xml:space="preserve">Комплект ремонтний супорта-4шт, </t>
  </si>
  <si>
    <t>346 00 262</t>
  </si>
  <si>
    <t xml:space="preserve">Комплект ремонтний привода супорта правий-3шт, </t>
  </si>
  <si>
    <t>346 01 009</t>
  </si>
  <si>
    <t xml:space="preserve">Комплект ремонтний механізму привода супорта-2шт, </t>
  </si>
  <si>
    <t>346 00 082</t>
  </si>
  <si>
    <t xml:space="preserve">Пиловик супорта-2шт, </t>
  </si>
  <si>
    <t>346 01 579</t>
  </si>
  <si>
    <t xml:space="preserve">Комплект кришок супорта-156шт, </t>
  </si>
  <si>
    <t>346 01 670</t>
  </si>
  <si>
    <t xml:space="preserve">Втулка супорта-52шт, </t>
  </si>
  <si>
    <t>346 00 068</t>
  </si>
  <si>
    <t xml:space="preserve">Кришка супорта з болтами-32шт, </t>
  </si>
  <si>
    <t>346 00 045</t>
  </si>
  <si>
    <t xml:space="preserve">Комплект ремонтний блока привода супорта-20шт, </t>
  </si>
  <si>
    <t>346 00 112</t>
  </si>
  <si>
    <t>346 00 059</t>
  </si>
  <si>
    <t>346 02 623</t>
  </si>
  <si>
    <t xml:space="preserve">Комплект кришок супорта-8шт, </t>
  </si>
  <si>
    <t>346 00 047</t>
  </si>
  <si>
    <t xml:space="preserve">Комплект ремонтний блока привода супорта-8шт, </t>
  </si>
  <si>
    <t>346 01 399</t>
  </si>
  <si>
    <t xml:space="preserve">Комплект ремонтний супорта-8шт, </t>
  </si>
  <si>
    <t>346 02 130</t>
  </si>
  <si>
    <t xml:space="preserve">Важіль супорта-6шт, </t>
  </si>
  <si>
    <t>346 00 078</t>
  </si>
  <si>
    <t xml:space="preserve">Комплект ремонтний супорта-120шт, </t>
  </si>
  <si>
    <t>346 00 048</t>
  </si>
  <si>
    <t xml:space="preserve">Механізм підведення супорта гальмівного в зборі-120шт, </t>
  </si>
  <si>
    <t>346 00 084</t>
  </si>
  <si>
    <t xml:space="preserve">Комплект ремонтний направляючих супорта-100шт, </t>
  </si>
  <si>
    <t>346 00 064</t>
  </si>
  <si>
    <t xml:space="preserve">Комплект ремонтний підшипника супорта-100шт, </t>
  </si>
  <si>
    <t>346 00 074</t>
  </si>
  <si>
    <t xml:space="preserve">Комплект пиловиків супорта-84шт, </t>
  </si>
  <si>
    <t>346 00 187</t>
  </si>
  <si>
    <t>346 00 114</t>
  </si>
  <si>
    <t>346 01 110</t>
  </si>
  <si>
    <t xml:space="preserve">Комплект ремонтний штовхача супорта-50шт, </t>
  </si>
  <si>
    <t>346 00 106</t>
  </si>
  <si>
    <t xml:space="preserve">Комплект ремонтний супорта-30шт, </t>
  </si>
  <si>
    <t>346 01 028</t>
  </si>
  <si>
    <t>346 01 405</t>
  </si>
  <si>
    <t xml:space="preserve">Механізм приводу супорта в зборі-20шт, </t>
  </si>
  <si>
    <t>346 02 333</t>
  </si>
  <si>
    <t xml:space="preserve">Комплект пиловиків супорта-6шт, </t>
  </si>
  <si>
    <t>346 01 008</t>
  </si>
  <si>
    <t xml:space="preserve">Разом по товару МД № 1</t>
  </si>
  <si>
    <t>3917320090</t>
  </si>
  <si>
    <t>149 55 036</t>
  </si>
  <si>
    <t xml:space="preserve">Патрубок інтеркулера силікон-4шт, </t>
  </si>
  <si>
    <t xml:space="preserve">Разом по товару МД № 2</t>
  </si>
  <si>
    <t>3926300090</t>
  </si>
  <si>
    <t>96555СNТ</t>
  </si>
  <si>
    <t xml:space="preserve">Шайба-60шт, </t>
  </si>
  <si>
    <t>CONTECH</t>
  </si>
  <si>
    <t>394 23 157</t>
  </si>
  <si>
    <t xml:space="preserve">Стакан пневмоподушки пластмасовий-40шт, </t>
  </si>
  <si>
    <t xml:space="preserve">Разом по товару МД № 3</t>
  </si>
  <si>
    <t>4009310000</t>
  </si>
  <si>
    <t>12514СNТ</t>
  </si>
  <si>
    <t xml:space="preserve">Патрубок маслозаливної горловини резина-2шт, </t>
  </si>
  <si>
    <t xml:space="preserve">Разом по товару МД № 4</t>
  </si>
  <si>
    <t>4016930090</t>
  </si>
  <si>
    <t>325 00 141</t>
  </si>
  <si>
    <t xml:space="preserve">Сальник валу-10шт, </t>
  </si>
  <si>
    <t>346 00 951</t>
  </si>
  <si>
    <t xml:space="preserve">Пиловик саморегулятора гальм-20шт, </t>
  </si>
  <si>
    <t>346 01 887</t>
  </si>
  <si>
    <t xml:space="preserve">Пиловик супорта-10шт, </t>
  </si>
  <si>
    <t xml:space="preserve">Разом по товару МД № 5</t>
  </si>
  <si>
    <t>4016995290</t>
  </si>
  <si>
    <t>30295СNТ</t>
  </si>
  <si>
    <t xml:space="preserve">Сайлентблок стабілізатора-4шт, </t>
  </si>
  <si>
    <t>400 33 004</t>
  </si>
  <si>
    <t xml:space="preserve">Втулка ресорна гума-метал-20шт, </t>
  </si>
  <si>
    <t>30042СNТ</t>
  </si>
  <si>
    <t xml:space="preserve">Буфер-4шт, </t>
  </si>
  <si>
    <t>467 55 002</t>
  </si>
  <si>
    <t xml:space="preserve">Пневмоподушка кабіни-4шт, </t>
  </si>
  <si>
    <t>71381СNТ</t>
  </si>
  <si>
    <t xml:space="preserve">Подушка глушника-2шт, </t>
  </si>
  <si>
    <t>ED 14158-KP</t>
  </si>
  <si>
    <t xml:space="preserve">Пневмоподушка (з пласт стаканом)-15шт, </t>
  </si>
  <si>
    <t>ED 1940</t>
  </si>
  <si>
    <t xml:space="preserve">Пневмоподушка-8шт, </t>
  </si>
  <si>
    <t xml:space="preserve">Разом по товару МД № 6</t>
  </si>
  <si>
    <t>4016995790</t>
  </si>
  <si>
    <t>71530СNТ</t>
  </si>
  <si>
    <t xml:space="preserve">Напіввтулка стабілізатора-8шт, </t>
  </si>
  <si>
    <t>95201СNТ</t>
  </si>
  <si>
    <t xml:space="preserve">Подушка-4шт, </t>
  </si>
  <si>
    <t xml:space="preserve">Разом по товару МД № 7</t>
  </si>
  <si>
    <t>7315890000</t>
  </si>
  <si>
    <t>346 00 066</t>
  </si>
  <si>
    <t xml:space="preserve">Ланцюг привода супорта гальмівного-40шт, </t>
  </si>
  <si>
    <t xml:space="preserve">Разом по товару МД № 8</t>
  </si>
  <si>
    <t>7318158290</t>
  </si>
  <si>
    <t>73660СNТ</t>
  </si>
  <si>
    <t xml:space="preserve">Болт-500шт, </t>
  </si>
  <si>
    <t xml:space="preserve">Разом по товару МД № 9</t>
  </si>
  <si>
    <t>7318220090</t>
  </si>
  <si>
    <t>73315СNТ</t>
  </si>
  <si>
    <t xml:space="preserve">Шайба пальця ресорного метал.-4шт, </t>
  </si>
  <si>
    <t>74873СNТ</t>
  </si>
  <si>
    <t xml:space="preserve">Шайба замка сідла-6шт, </t>
  </si>
  <si>
    <t xml:space="preserve">Разом по товару МД № 10</t>
  </si>
  <si>
    <t>7320208190</t>
  </si>
  <si>
    <t>71585СNТ</t>
  </si>
  <si>
    <t xml:space="preserve">Пружина колодки барабанної-10шт, </t>
  </si>
  <si>
    <t>346 01 619</t>
  </si>
  <si>
    <t xml:space="preserve">Пружина важеля супорта-20шт, </t>
  </si>
  <si>
    <t>71623СNТ</t>
  </si>
  <si>
    <t xml:space="preserve">Пружина сідла-20шт, </t>
  </si>
  <si>
    <t xml:space="preserve">Разом по товару МД № 11</t>
  </si>
  <si>
    <t>8708309998</t>
  </si>
  <si>
    <t>71819СNТ</t>
  </si>
  <si>
    <t xml:space="preserve">Комплект ремонтний кріплення колодки барабанної-2шт, </t>
  </si>
  <si>
    <t>72433СNТ</t>
  </si>
  <si>
    <t xml:space="preserve">Ролик колодки барабанної метал-12шт, </t>
  </si>
  <si>
    <t>71821СNТ</t>
  </si>
  <si>
    <t xml:space="preserve">Комплект ремонтний колодки барабанної-8шт, </t>
  </si>
  <si>
    <t>349 00 021</t>
  </si>
  <si>
    <t xml:space="preserve">Комплект ремонтний колодки барабанной-16шт, </t>
  </si>
  <si>
    <t>70892СNТ</t>
  </si>
  <si>
    <t xml:space="preserve">Захист барабана гальмівного-30шт, </t>
  </si>
  <si>
    <t xml:space="preserve">Разом по товару МД № 12</t>
  </si>
  <si>
    <t>8708409998</t>
  </si>
  <si>
    <t>11512СNТ</t>
  </si>
  <si>
    <t xml:space="preserve">Накінечник тяги важеля КПШ-10шт, </t>
  </si>
  <si>
    <t>297 04 597</t>
  </si>
  <si>
    <t xml:space="preserve">Накінечник тяги важеля КПШ-20шт, </t>
  </si>
  <si>
    <t xml:space="preserve">Разом по товару МД № 13</t>
  </si>
  <si>
    <t>8708803598</t>
  </si>
  <si>
    <t>467 33 006</t>
  </si>
  <si>
    <t xml:space="preserve">Амортизатор кабіни з пневмоподушкою-6шт, </t>
  </si>
  <si>
    <t xml:space="preserve">Разом по товару МД № 14</t>
  </si>
  <si>
    <t>8708949998</t>
  </si>
  <si>
    <t>297 00 082</t>
  </si>
  <si>
    <t xml:space="preserve">Накінечник тяги рульової-6шт, </t>
  </si>
  <si>
    <t>10642СNТ</t>
  </si>
  <si>
    <t xml:space="preserve">Накінечник тяги рульової-4шт, </t>
  </si>
  <si>
    <t>10641СNТ</t>
  </si>
  <si>
    <t>297 00 098</t>
  </si>
  <si>
    <t xml:space="preserve">Разом по товару МД № 15</t>
  </si>
  <si>
    <t>8708999798</t>
  </si>
  <si>
    <t>147 33 139</t>
  </si>
  <si>
    <t xml:space="preserve">Трубка компресора-4шт, </t>
  </si>
  <si>
    <t>101499СNТ</t>
  </si>
  <si>
    <t xml:space="preserve">Горловина маслозаливна-2шт, </t>
  </si>
  <si>
    <t>72199СNТ</t>
  </si>
  <si>
    <t xml:space="preserve">Комплект ремонтний сідла-10шт, </t>
  </si>
  <si>
    <t xml:space="preserve">Разом по товару МД № 16</t>
  </si>
  <si>
    <t>8716909090</t>
  </si>
  <si>
    <t>36757СNТ</t>
  </si>
  <si>
    <t xml:space="preserve">Пластина пальця ресори причіпа-32шт, </t>
  </si>
  <si>
    <t>71005СNТ</t>
  </si>
  <si>
    <t xml:space="preserve">Кільце масловідбиваюче-2шт, </t>
  </si>
  <si>
    <t>13494СNТ</t>
  </si>
  <si>
    <t xml:space="preserve">Пластина монтажна підвіски-224шт, </t>
  </si>
  <si>
    <t xml:space="preserve">Разом по товару МД № 17</t>
  </si>
  <si>
    <t>9017809000</t>
  </si>
  <si>
    <t>105 33 031</t>
  </si>
  <si>
    <t xml:space="preserve">Щуп рівня масла-1шт, </t>
  </si>
  <si>
    <t>96653СNТ</t>
  </si>
  <si>
    <t xml:space="preserve">Щуп рівня масла-5шт, </t>
  </si>
  <si>
    <t xml:space="preserve">Разом по товару МД № 18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</si>
</sst>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Border="1"/>
    <xf numFmtId="0" fontId="0" fillId="3" borderId="8" xfId="0" applyBorder="1"/>
    <xf numFmtId="0" fontId="2" fillId="0" borderId="4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118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0.147</v>
      </c>
      <c r="K5" s="2">
        <v>0.14</v>
      </c>
      <c r="L5" s="2">
        <v>3</v>
      </c>
      <c r="M5" s="2">
        <v>2</v>
      </c>
      <c r="N5" s="4" t="s">
        <v>33</v>
      </c>
      <c r="O5" s="9" t="s">
        <v>34</v>
      </c>
      <c r="P5" s="2">
        <v>6</v>
      </c>
      <c r="Q5" s="2">
        <v>0</v>
      </c>
      <c r="R5" s="6" t="s">
        <v>34</v>
      </c>
      <c r="S5" s="2"/>
      <c r="T5" s="2">
        <v>307.27</v>
      </c>
      <c r="U5" s="2">
        <v>30.73</v>
      </c>
      <c r="V5" s="2"/>
      <c r="W5" s="2"/>
      <c r="X5" s="2"/>
      <c r="Y5" s="2">
        <v>67.6</v>
      </c>
      <c r="Z5" s="2"/>
      <c r="AA5" s="10">
        <v>405.6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4.211</v>
      </c>
      <c r="K6" s="2">
        <v>4</v>
      </c>
      <c r="L6" s="2">
        <v>2</v>
      </c>
      <c r="M6" s="2">
        <v>100</v>
      </c>
      <c r="N6" s="4" t="s">
        <v>33</v>
      </c>
      <c r="O6" s="9" t="s">
        <v>34</v>
      </c>
      <c r="P6" s="2">
        <v>200</v>
      </c>
      <c r="Q6" s="2">
        <v>0</v>
      </c>
      <c r="R6" s="6" t="s">
        <v>34</v>
      </c>
      <c r="S6" s="2"/>
      <c r="T6" s="2">
        <v>10237.94</v>
      </c>
      <c r="U6" s="2">
        <v>1023.79</v>
      </c>
      <c r="V6" s="2"/>
      <c r="W6" s="2"/>
      <c r="X6" s="2"/>
      <c r="Y6" s="2">
        <v>2252.35</v>
      </c>
      <c r="Z6" s="2"/>
      <c r="AA6" s="10">
        <v>13514.08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36</v>
      </c>
      <c r="G7" s="6" t="s">
        <v>30</v>
      </c>
      <c r="H7" s="2" t="s">
        <v>31</v>
      </c>
      <c r="I7" s="2" t="s">
        <v>32</v>
      </c>
      <c r="J7" s="2">
        <v>4.105</v>
      </c>
      <c r="K7" s="2">
        <v>3.9</v>
      </c>
      <c r="L7" s="2">
        <v>0.55</v>
      </c>
      <c r="M7" s="2">
        <v>100</v>
      </c>
      <c r="N7" s="4" t="s">
        <v>33</v>
      </c>
      <c r="O7" s="9" t="s">
        <v>34</v>
      </c>
      <c r="P7" s="2">
        <v>55</v>
      </c>
      <c r="Q7" s="2">
        <v>0</v>
      </c>
      <c r="R7" s="6" t="s">
        <v>34</v>
      </c>
      <c r="S7" s="2"/>
      <c r="T7" s="2">
        <v>2833.65</v>
      </c>
      <c r="U7" s="2">
        <v>283.37</v>
      </c>
      <c r="V7" s="2"/>
      <c r="W7" s="2"/>
      <c r="X7" s="2"/>
      <c r="Y7" s="2">
        <v>623.4</v>
      </c>
      <c r="Z7" s="2"/>
      <c r="AA7" s="10">
        <v>3740.42</v>
      </c>
    </row>
    <row r="8" ht="15">
      <c r="A8">
        <v>4</v>
      </c>
      <c r="B8" s="6"/>
      <c r="C8" s="2">
        <v>1</v>
      </c>
      <c r="D8" s="2"/>
      <c r="E8" s="2" t="s">
        <v>38</v>
      </c>
      <c r="F8" s="2" t="s">
        <v>39</v>
      </c>
      <c r="G8" s="6" t="s">
        <v>30</v>
      </c>
      <c r="H8" s="2" t="s">
        <v>31</v>
      </c>
      <c r="I8" s="2" t="s">
        <v>32</v>
      </c>
      <c r="J8" s="2">
        <v>7.579</v>
      </c>
      <c r="K8" s="2">
        <v>7.2</v>
      </c>
      <c r="L8" s="2">
        <v>1.9</v>
      </c>
      <c r="M8" s="2">
        <v>60</v>
      </c>
      <c r="N8" s="4" t="s">
        <v>33</v>
      </c>
      <c r="O8" s="9" t="s">
        <v>34</v>
      </c>
      <c r="P8" s="2">
        <v>114</v>
      </c>
      <c r="Q8" s="2">
        <v>0</v>
      </c>
      <c r="R8" s="6" t="s">
        <v>34</v>
      </c>
      <c r="S8" s="2"/>
      <c r="T8" s="2">
        <v>5867.64</v>
      </c>
      <c r="U8" s="2">
        <v>586.76</v>
      </c>
      <c r="V8" s="2"/>
      <c r="W8" s="2"/>
      <c r="X8" s="2"/>
      <c r="Y8" s="2">
        <v>1290.88</v>
      </c>
      <c r="Z8" s="2"/>
      <c r="AA8" s="10">
        <v>7745.28</v>
      </c>
    </row>
    <row r="9" ht="15">
      <c r="A9">
        <v>5</v>
      </c>
      <c r="B9" s="6"/>
      <c r="C9" s="2">
        <v>1</v>
      </c>
      <c r="D9" s="2"/>
      <c r="E9" s="2" t="s">
        <v>40</v>
      </c>
      <c r="F9" s="2" t="s">
        <v>41</v>
      </c>
      <c r="G9" s="6" t="s">
        <v>30</v>
      </c>
      <c r="H9" s="2" t="s">
        <v>31</v>
      </c>
      <c r="I9" s="2" t="s">
        <v>32</v>
      </c>
      <c r="J9" s="2">
        <v>29.158</v>
      </c>
      <c r="K9" s="2">
        <v>27.7</v>
      </c>
      <c r="L9" s="2">
        <v>3.3</v>
      </c>
      <c r="M9" s="2">
        <v>50</v>
      </c>
      <c r="N9" s="4" t="s">
        <v>33</v>
      </c>
      <c r="O9" s="9" t="s">
        <v>34</v>
      </c>
      <c r="P9" s="2">
        <v>165</v>
      </c>
      <c r="Q9" s="2">
        <v>0</v>
      </c>
      <c r="R9" s="6" t="s">
        <v>34</v>
      </c>
      <c r="S9" s="2"/>
      <c r="T9" s="2">
        <v>8605.1</v>
      </c>
      <c r="U9" s="2">
        <v>860.51</v>
      </c>
      <c r="V9" s="2"/>
      <c r="W9" s="2"/>
      <c r="X9" s="2"/>
      <c r="Y9" s="2">
        <v>1893.12</v>
      </c>
      <c r="Z9" s="2"/>
      <c r="AA9" s="10">
        <v>11358.73</v>
      </c>
    </row>
    <row r="10" ht="15">
      <c r="A10">
        <v>6</v>
      </c>
      <c r="B10" s="6"/>
      <c r="C10" s="2">
        <v>1</v>
      </c>
      <c r="D10" s="2"/>
      <c r="E10" s="2" t="s">
        <v>42</v>
      </c>
      <c r="F10" s="2" t="s">
        <v>43</v>
      </c>
      <c r="G10" s="6" t="s">
        <v>30</v>
      </c>
      <c r="H10" s="2" t="s">
        <v>31</v>
      </c>
      <c r="I10" s="2" t="s">
        <v>32</v>
      </c>
      <c r="J10" s="2">
        <v>24.842</v>
      </c>
      <c r="K10" s="2">
        <v>23.6</v>
      </c>
      <c r="L10" s="2">
        <v>3.5</v>
      </c>
      <c r="M10" s="2">
        <v>40</v>
      </c>
      <c r="N10" s="4" t="s">
        <v>33</v>
      </c>
      <c r="O10" s="9" t="s">
        <v>34</v>
      </c>
      <c r="P10" s="2">
        <v>140</v>
      </c>
      <c r="Q10" s="2">
        <v>0</v>
      </c>
      <c r="R10" s="6" t="s">
        <v>34</v>
      </c>
      <c r="S10" s="2"/>
      <c r="T10" s="2">
        <v>7301.93</v>
      </c>
      <c r="U10" s="2">
        <v>730.19</v>
      </c>
      <c r="V10" s="2"/>
      <c r="W10" s="2"/>
      <c r="X10" s="2"/>
      <c r="Y10" s="2">
        <v>1606.42</v>
      </c>
      <c r="Z10" s="2"/>
      <c r="AA10" s="10">
        <v>9638.54</v>
      </c>
    </row>
    <row r="11" ht="15">
      <c r="A11">
        <v>7</v>
      </c>
      <c r="B11" s="6"/>
      <c r="C11" s="2">
        <v>1</v>
      </c>
      <c r="D11" s="2"/>
      <c r="E11" s="2" t="s">
        <v>44</v>
      </c>
      <c r="F11" s="2" t="s">
        <v>45</v>
      </c>
      <c r="G11" s="6" t="s">
        <v>30</v>
      </c>
      <c r="H11" s="2" t="s">
        <v>31</v>
      </c>
      <c r="I11" s="2" t="s">
        <v>32</v>
      </c>
      <c r="J11" s="2">
        <v>3.284</v>
      </c>
      <c r="K11" s="2">
        <v>3.12</v>
      </c>
      <c r="L11" s="2">
        <v>2.9</v>
      </c>
      <c r="M11" s="2">
        <v>30</v>
      </c>
      <c r="N11" s="4" t="s">
        <v>33</v>
      </c>
      <c r="O11" s="9" t="s">
        <v>34</v>
      </c>
      <c r="P11" s="2">
        <v>87</v>
      </c>
      <c r="Q11" s="2">
        <v>0</v>
      </c>
      <c r="R11" s="6" t="s">
        <v>34</v>
      </c>
      <c r="S11" s="2"/>
      <c r="T11" s="2">
        <v>4462.48</v>
      </c>
      <c r="U11" s="2">
        <v>446.25</v>
      </c>
      <c r="V11" s="2"/>
      <c r="W11" s="2"/>
      <c r="X11" s="2"/>
      <c r="Y11" s="2">
        <v>981.75</v>
      </c>
      <c r="Z11" s="2"/>
      <c r="AA11" s="10">
        <v>5890.48</v>
      </c>
    </row>
    <row r="12" ht="15">
      <c r="A12">
        <v>8</v>
      </c>
      <c r="B12" s="6"/>
      <c r="C12" s="2">
        <v>1</v>
      </c>
      <c r="D12" s="2"/>
      <c r="E12" s="2" t="s">
        <v>46</v>
      </c>
      <c r="F12" s="2" t="s">
        <v>47</v>
      </c>
      <c r="G12" s="6" t="s">
        <v>30</v>
      </c>
      <c r="H12" s="2" t="s">
        <v>31</v>
      </c>
      <c r="I12" s="2" t="s">
        <v>32</v>
      </c>
      <c r="J12" s="2">
        <v>22.63</v>
      </c>
      <c r="K12" s="2">
        <v>21.5</v>
      </c>
      <c r="L12" s="2">
        <v>9.5</v>
      </c>
      <c r="M12" s="2">
        <v>20</v>
      </c>
      <c r="N12" s="4" t="s">
        <v>33</v>
      </c>
      <c r="O12" s="9" t="s">
        <v>34</v>
      </c>
      <c r="P12" s="2">
        <v>190</v>
      </c>
      <c r="Q12" s="2">
        <v>0</v>
      </c>
      <c r="R12" s="6" t="s">
        <v>34</v>
      </c>
      <c r="S12" s="2"/>
      <c r="T12" s="2">
        <v>9841.23</v>
      </c>
      <c r="U12" s="2">
        <v>984.12</v>
      </c>
      <c r="V12" s="2"/>
      <c r="W12" s="2"/>
      <c r="X12" s="2"/>
      <c r="Y12" s="2">
        <v>2165.07</v>
      </c>
      <c r="Z12" s="2"/>
      <c r="AA12" s="10">
        <v>12990.42</v>
      </c>
    </row>
    <row r="13" ht="15">
      <c r="A13">
        <v>9</v>
      </c>
      <c r="B13" s="6"/>
      <c r="C13" s="2">
        <v>1</v>
      </c>
      <c r="D13" s="2"/>
      <c r="E13" s="2" t="s">
        <v>48</v>
      </c>
      <c r="F13" s="2" t="s">
        <v>49</v>
      </c>
      <c r="G13" s="6" t="s">
        <v>30</v>
      </c>
      <c r="H13" s="2" t="s">
        <v>31</v>
      </c>
      <c r="I13" s="2" t="s">
        <v>32</v>
      </c>
      <c r="J13" s="2">
        <v>30.8</v>
      </c>
      <c r="K13" s="2">
        <v>29.26</v>
      </c>
      <c r="L13" s="2">
        <v>11</v>
      </c>
      <c r="M13" s="2">
        <v>20</v>
      </c>
      <c r="N13" s="4" t="s">
        <v>33</v>
      </c>
      <c r="O13" s="9" t="s">
        <v>34</v>
      </c>
      <c r="P13" s="2">
        <v>220</v>
      </c>
      <c r="Q13" s="2">
        <v>0</v>
      </c>
      <c r="R13" s="6" t="s">
        <v>34</v>
      </c>
      <c r="S13" s="2"/>
      <c r="T13" s="2">
        <v>11423.53</v>
      </c>
      <c r="U13" s="2">
        <v>1142.35</v>
      </c>
      <c r="V13" s="2"/>
      <c r="W13" s="2"/>
      <c r="X13" s="2"/>
      <c r="Y13" s="2">
        <v>2513.18</v>
      </c>
      <c r="Z13" s="2"/>
      <c r="AA13" s="10">
        <v>15079.06</v>
      </c>
    </row>
    <row r="14" ht="15">
      <c r="A14">
        <v>10</v>
      </c>
      <c r="B14" s="6"/>
      <c r="C14" s="2">
        <v>1</v>
      </c>
      <c r="D14" s="2"/>
      <c r="E14" s="2" t="s">
        <v>50</v>
      </c>
      <c r="F14" s="2" t="s">
        <v>49</v>
      </c>
      <c r="G14" s="6" t="s">
        <v>30</v>
      </c>
      <c r="H14" s="2" t="s">
        <v>31</v>
      </c>
      <c r="I14" s="2" t="s">
        <v>32</v>
      </c>
      <c r="J14" s="2">
        <v>42.253</v>
      </c>
      <c r="K14" s="2">
        <v>40.14</v>
      </c>
      <c r="L14" s="2">
        <v>12.4</v>
      </c>
      <c r="M14" s="2">
        <v>20</v>
      </c>
      <c r="N14" s="4" t="s">
        <v>33</v>
      </c>
      <c r="O14" s="9" t="s">
        <v>34</v>
      </c>
      <c r="P14" s="2">
        <v>248</v>
      </c>
      <c r="Q14" s="2">
        <v>0</v>
      </c>
      <c r="R14" s="6" t="s">
        <v>34</v>
      </c>
      <c r="S14" s="2"/>
      <c r="T14" s="2">
        <v>12924.01</v>
      </c>
      <c r="U14" s="2">
        <v>1292.4</v>
      </c>
      <c r="V14" s="2"/>
      <c r="W14" s="2"/>
      <c r="X14" s="2"/>
      <c r="Y14" s="2">
        <v>2843.28</v>
      </c>
      <c r="Z14" s="2"/>
      <c r="AA14" s="10">
        <v>17059.69</v>
      </c>
    </row>
    <row r="15" ht="15">
      <c r="A15">
        <v>11</v>
      </c>
      <c r="B15" s="6"/>
      <c r="C15" s="2">
        <v>1</v>
      </c>
      <c r="D15" s="2"/>
      <c r="E15" s="2" t="s">
        <v>51</v>
      </c>
      <c r="F15" s="2" t="s">
        <v>52</v>
      </c>
      <c r="G15" s="6" t="s">
        <v>30</v>
      </c>
      <c r="H15" s="2" t="s">
        <v>31</v>
      </c>
      <c r="I15" s="2" t="s">
        <v>32</v>
      </c>
      <c r="J15" s="2">
        <v>31.074</v>
      </c>
      <c r="K15" s="2">
        <v>29.52</v>
      </c>
      <c r="L15" s="2">
        <v>9.6</v>
      </c>
      <c r="M15" s="2">
        <v>20</v>
      </c>
      <c r="N15" s="4" t="s">
        <v>33</v>
      </c>
      <c r="O15" s="9" t="s">
        <v>34</v>
      </c>
      <c r="P15" s="2">
        <v>192</v>
      </c>
      <c r="Q15" s="2">
        <v>0</v>
      </c>
      <c r="R15" s="6" t="s">
        <v>34</v>
      </c>
      <c r="S15" s="2"/>
      <c r="T15" s="2">
        <v>9995.56</v>
      </c>
      <c r="U15" s="2">
        <v>999.56</v>
      </c>
      <c r="V15" s="2"/>
      <c r="W15" s="2"/>
      <c r="X15" s="2"/>
      <c r="Y15" s="2">
        <v>2199.02</v>
      </c>
      <c r="Z15" s="2"/>
      <c r="AA15" s="10">
        <v>13194.14</v>
      </c>
    </row>
    <row r="16" ht="15">
      <c r="A16">
        <v>12</v>
      </c>
      <c r="B16" s="6"/>
      <c r="C16" s="2">
        <v>1</v>
      </c>
      <c r="D16" s="2"/>
      <c r="E16" s="2" t="s">
        <v>53</v>
      </c>
      <c r="F16" s="2" t="s">
        <v>54</v>
      </c>
      <c r="G16" s="6" t="s">
        <v>30</v>
      </c>
      <c r="H16" s="2" t="s">
        <v>31</v>
      </c>
      <c r="I16" s="2" t="s">
        <v>32</v>
      </c>
      <c r="J16" s="2">
        <v>30.24</v>
      </c>
      <c r="K16" s="2">
        <v>28.728</v>
      </c>
      <c r="L16" s="2">
        <v>11.5</v>
      </c>
      <c r="M16" s="2">
        <v>18</v>
      </c>
      <c r="N16" s="4" t="s">
        <v>33</v>
      </c>
      <c r="O16" s="9" t="s">
        <v>34</v>
      </c>
      <c r="P16" s="2">
        <v>207</v>
      </c>
      <c r="Q16" s="2">
        <v>0</v>
      </c>
      <c r="R16" s="6" t="s">
        <v>34</v>
      </c>
      <c r="S16" s="2"/>
      <c r="T16" s="2">
        <v>10756.29</v>
      </c>
      <c r="U16" s="2">
        <v>1075.63</v>
      </c>
      <c r="V16" s="2"/>
      <c r="W16" s="2"/>
      <c r="X16" s="2"/>
      <c r="Y16" s="2">
        <v>2366.38</v>
      </c>
      <c r="Z16" s="2"/>
      <c r="AA16" s="10">
        <v>14198.3</v>
      </c>
    </row>
    <row r="17" ht="15">
      <c r="A17">
        <v>13</v>
      </c>
      <c r="B17" s="6"/>
      <c r="C17" s="2">
        <v>1</v>
      </c>
      <c r="D17" s="2"/>
      <c r="E17" s="2" t="s">
        <v>55</v>
      </c>
      <c r="F17" s="2" t="s">
        <v>56</v>
      </c>
      <c r="G17" s="6" t="s">
        <v>30</v>
      </c>
      <c r="H17" s="2" t="s">
        <v>31</v>
      </c>
      <c r="I17" s="2" t="s">
        <v>32</v>
      </c>
      <c r="J17" s="2">
        <v>9.284</v>
      </c>
      <c r="K17" s="2">
        <v>8.82</v>
      </c>
      <c r="L17" s="2">
        <v>8.2</v>
      </c>
      <c r="M17" s="2">
        <v>12</v>
      </c>
      <c r="N17" s="4" t="s">
        <v>33</v>
      </c>
      <c r="O17" s="9" t="s">
        <v>34</v>
      </c>
      <c r="P17" s="2">
        <v>98.4</v>
      </c>
      <c r="Q17" s="2">
        <v>0</v>
      </c>
      <c r="R17" s="6" t="s">
        <v>34</v>
      </c>
      <c r="S17" s="2"/>
      <c r="T17" s="2">
        <v>5081.66</v>
      </c>
      <c r="U17" s="2">
        <v>508.17</v>
      </c>
      <c r="V17" s="2"/>
      <c r="W17" s="2"/>
      <c r="X17" s="2"/>
      <c r="Y17" s="2">
        <v>1117.97</v>
      </c>
      <c r="Z17" s="2"/>
      <c r="AA17" s="10">
        <v>6707.8</v>
      </c>
    </row>
    <row r="18" ht="15">
      <c r="A18">
        <v>14</v>
      </c>
      <c r="B18" s="6"/>
      <c r="C18" s="2">
        <v>1</v>
      </c>
      <c r="D18" s="2"/>
      <c r="E18" s="2" t="s">
        <v>57</v>
      </c>
      <c r="F18" s="2" t="s">
        <v>58</v>
      </c>
      <c r="G18" s="6" t="s">
        <v>30</v>
      </c>
      <c r="H18" s="2" t="s">
        <v>31</v>
      </c>
      <c r="I18" s="2" t="s">
        <v>32</v>
      </c>
      <c r="J18" s="2">
        <v>0.139</v>
      </c>
      <c r="K18" s="2">
        <v>0.132</v>
      </c>
      <c r="L18" s="2">
        <v>1.59</v>
      </c>
      <c r="M18" s="2">
        <v>12</v>
      </c>
      <c r="N18" s="4" t="s">
        <v>33</v>
      </c>
      <c r="O18" s="9" t="s">
        <v>34</v>
      </c>
      <c r="P18" s="2">
        <v>19.08</v>
      </c>
      <c r="Q18" s="2">
        <v>0</v>
      </c>
      <c r="R18" s="6" t="s">
        <v>34</v>
      </c>
      <c r="S18" s="2"/>
      <c r="T18" s="2">
        <v>975.07</v>
      </c>
      <c r="U18" s="2">
        <v>97.51</v>
      </c>
      <c r="V18" s="2"/>
      <c r="W18" s="2"/>
      <c r="X18" s="2"/>
      <c r="Y18" s="2">
        <v>214.52</v>
      </c>
      <c r="Z18" s="2"/>
      <c r="AA18" s="10">
        <v>1287.1</v>
      </c>
    </row>
    <row r="19" ht="15">
      <c r="A19">
        <v>15</v>
      </c>
      <c r="B19" s="6"/>
      <c r="C19" s="2">
        <v>1</v>
      </c>
      <c r="D19" s="2"/>
      <c r="E19" s="2" t="s">
        <v>59</v>
      </c>
      <c r="F19" s="2" t="s">
        <v>60</v>
      </c>
      <c r="G19" s="6" t="s">
        <v>30</v>
      </c>
      <c r="H19" s="2" t="s">
        <v>31</v>
      </c>
      <c r="I19" s="2" t="s">
        <v>32</v>
      </c>
      <c r="J19" s="2">
        <v>11.47</v>
      </c>
      <c r="K19" s="2">
        <v>10.9</v>
      </c>
      <c r="L19" s="2">
        <v>5.8</v>
      </c>
      <c r="M19" s="2">
        <v>10</v>
      </c>
      <c r="N19" s="4" t="s">
        <v>33</v>
      </c>
      <c r="O19" s="9" t="s">
        <v>34</v>
      </c>
      <c r="P19" s="2">
        <v>58</v>
      </c>
      <c r="Q19" s="2">
        <v>0</v>
      </c>
      <c r="R19" s="6" t="s">
        <v>34</v>
      </c>
      <c r="S19" s="2"/>
      <c r="T19" s="2">
        <v>3032.37</v>
      </c>
      <c r="U19" s="2">
        <v>303.24</v>
      </c>
      <c r="V19" s="2"/>
      <c r="W19" s="2"/>
      <c r="X19" s="2"/>
      <c r="Y19" s="2">
        <v>667.12</v>
      </c>
      <c r="Z19" s="2"/>
      <c r="AA19" s="10">
        <v>4002.73</v>
      </c>
    </row>
    <row r="20" ht="15">
      <c r="A20">
        <v>16</v>
      </c>
      <c r="B20" s="6"/>
      <c r="C20" s="2">
        <v>1</v>
      </c>
      <c r="D20" s="2"/>
      <c r="E20" s="2" t="s">
        <v>61</v>
      </c>
      <c r="F20" s="2" t="s">
        <v>62</v>
      </c>
      <c r="G20" s="6" t="s">
        <v>30</v>
      </c>
      <c r="H20" s="2" t="s">
        <v>31</v>
      </c>
      <c r="I20" s="2" t="s">
        <v>32</v>
      </c>
      <c r="J20" s="2">
        <v>5.737</v>
      </c>
      <c r="K20" s="2">
        <v>5.45</v>
      </c>
      <c r="L20" s="2">
        <v>2.7</v>
      </c>
      <c r="M20" s="2">
        <v>10</v>
      </c>
      <c r="N20" s="4" t="s">
        <v>33</v>
      </c>
      <c r="O20" s="9" t="s">
        <v>34</v>
      </c>
      <c r="P20" s="2">
        <v>27</v>
      </c>
      <c r="Q20" s="2">
        <v>0</v>
      </c>
      <c r="R20" s="6" t="s">
        <v>34</v>
      </c>
      <c r="S20" s="2"/>
      <c r="T20" s="2">
        <v>1414.08</v>
      </c>
      <c r="U20" s="2">
        <v>141.41</v>
      </c>
      <c r="V20" s="2"/>
      <c r="W20" s="2"/>
      <c r="X20" s="2"/>
      <c r="Y20" s="2">
        <v>311.1</v>
      </c>
      <c r="Z20" s="2"/>
      <c r="AA20" s="10">
        <v>1866.59</v>
      </c>
    </row>
    <row r="21" ht="15">
      <c r="A21">
        <v>17</v>
      </c>
      <c r="B21" s="6"/>
      <c r="C21" s="2">
        <v>1</v>
      </c>
      <c r="D21" s="2"/>
      <c r="E21" s="2" t="s">
        <v>63</v>
      </c>
      <c r="F21" s="2" t="s">
        <v>62</v>
      </c>
      <c r="G21" s="6" t="s">
        <v>30</v>
      </c>
      <c r="H21" s="2" t="s">
        <v>31</v>
      </c>
      <c r="I21" s="2" t="s">
        <v>32</v>
      </c>
      <c r="J21" s="2">
        <v>3.337</v>
      </c>
      <c r="K21" s="2">
        <v>3.17</v>
      </c>
      <c r="L21" s="2">
        <v>3.35</v>
      </c>
      <c r="M21" s="2">
        <v>10</v>
      </c>
      <c r="N21" s="4" t="s">
        <v>33</v>
      </c>
      <c r="O21" s="9" t="s">
        <v>34</v>
      </c>
      <c r="P21" s="2">
        <v>33.5</v>
      </c>
      <c r="Q21" s="2">
        <v>0</v>
      </c>
      <c r="R21" s="6" t="s">
        <v>34</v>
      </c>
      <c r="S21" s="2"/>
      <c r="T21" s="2">
        <v>1731.13</v>
      </c>
      <c r="U21" s="2">
        <v>173.11</v>
      </c>
      <c r="V21" s="2"/>
      <c r="W21" s="2"/>
      <c r="X21" s="2"/>
      <c r="Y21" s="2">
        <v>380.85</v>
      </c>
      <c r="Z21" s="2"/>
      <c r="AA21" s="10">
        <v>2285.09</v>
      </c>
    </row>
    <row r="22" ht="15">
      <c r="A22">
        <v>18</v>
      </c>
      <c r="B22" s="6"/>
      <c r="C22" s="2">
        <v>1</v>
      </c>
      <c r="D22" s="2"/>
      <c r="E22" s="2" t="s">
        <v>64</v>
      </c>
      <c r="F22" s="2" t="s">
        <v>65</v>
      </c>
      <c r="G22" s="6" t="s">
        <v>30</v>
      </c>
      <c r="H22" s="2" t="s">
        <v>31</v>
      </c>
      <c r="I22" s="2" t="s">
        <v>32</v>
      </c>
      <c r="J22" s="2">
        <v>2.678</v>
      </c>
      <c r="K22" s="2">
        <v>2.544</v>
      </c>
      <c r="L22" s="2">
        <v>1.35</v>
      </c>
      <c r="M22" s="2">
        <v>8</v>
      </c>
      <c r="N22" s="4" t="s">
        <v>33</v>
      </c>
      <c r="O22" s="9" t="s">
        <v>34</v>
      </c>
      <c r="P22" s="2">
        <v>10.8</v>
      </c>
      <c r="Q22" s="2">
        <v>0</v>
      </c>
      <c r="R22" s="6" t="s">
        <v>34</v>
      </c>
      <c r="S22" s="2"/>
      <c r="T22" s="2">
        <v>568</v>
      </c>
      <c r="U22" s="2">
        <v>56.8</v>
      </c>
      <c r="V22" s="2"/>
      <c r="W22" s="2"/>
      <c r="X22" s="2"/>
      <c r="Y22" s="2">
        <v>124.96</v>
      </c>
      <c r="Z22" s="2"/>
      <c r="AA22" s="10">
        <v>749.76</v>
      </c>
    </row>
    <row r="23" ht="15">
      <c r="A23">
        <v>19</v>
      </c>
      <c r="B23" s="6"/>
      <c r="C23" s="2">
        <v>1</v>
      </c>
      <c r="D23" s="2"/>
      <c r="E23" s="2" t="s">
        <v>66</v>
      </c>
      <c r="F23" s="2" t="s">
        <v>67</v>
      </c>
      <c r="G23" s="6" t="s">
        <v>30</v>
      </c>
      <c r="H23" s="2" t="s">
        <v>31</v>
      </c>
      <c r="I23" s="2" t="s">
        <v>32</v>
      </c>
      <c r="J23" s="2">
        <v>12.716</v>
      </c>
      <c r="K23" s="2">
        <v>12.08</v>
      </c>
      <c r="L23" s="2">
        <v>7.25</v>
      </c>
      <c r="M23" s="2">
        <v>8</v>
      </c>
      <c r="N23" s="4" t="s">
        <v>33</v>
      </c>
      <c r="O23" s="9" t="s">
        <v>34</v>
      </c>
      <c r="P23" s="2">
        <v>58</v>
      </c>
      <c r="Q23" s="2">
        <v>0</v>
      </c>
      <c r="R23" s="6" t="s">
        <v>34</v>
      </c>
      <c r="S23" s="2"/>
      <c r="T23" s="2">
        <v>3040.07</v>
      </c>
      <c r="U23" s="2">
        <v>304.01</v>
      </c>
      <c r="V23" s="2"/>
      <c r="W23" s="2"/>
      <c r="X23" s="2"/>
      <c r="Y23" s="2">
        <v>668.82</v>
      </c>
      <c r="Z23" s="2"/>
      <c r="AA23" s="10">
        <v>4012.9</v>
      </c>
    </row>
    <row r="24" ht="15">
      <c r="A24">
        <v>20</v>
      </c>
      <c r="B24" s="6"/>
      <c r="C24" s="2">
        <v>1</v>
      </c>
      <c r="D24" s="2"/>
      <c r="E24" s="2" t="s">
        <v>68</v>
      </c>
      <c r="F24" s="2" t="s">
        <v>69</v>
      </c>
      <c r="G24" s="6" t="s">
        <v>30</v>
      </c>
      <c r="H24" s="2" t="s">
        <v>31</v>
      </c>
      <c r="I24" s="2" t="s">
        <v>32</v>
      </c>
      <c r="J24" s="2">
        <v>3.082</v>
      </c>
      <c r="K24" s="2">
        <v>2.928</v>
      </c>
      <c r="L24" s="2">
        <v>7.5</v>
      </c>
      <c r="M24" s="2">
        <v>6</v>
      </c>
      <c r="N24" s="4" t="s">
        <v>33</v>
      </c>
      <c r="O24" s="9" t="s">
        <v>34</v>
      </c>
      <c r="P24" s="2">
        <v>45</v>
      </c>
      <c r="Q24" s="2">
        <v>0</v>
      </c>
      <c r="R24" s="6" t="s">
        <v>34</v>
      </c>
      <c r="S24" s="2"/>
      <c r="T24" s="2">
        <v>2316.73</v>
      </c>
      <c r="U24" s="2">
        <v>231.67</v>
      </c>
      <c r="V24" s="2"/>
      <c r="W24" s="2"/>
      <c r="X24" s="2"/>
      <c r="Y24" s="2">
        <v>509.68</v>
      </c>
      <c r="Z24" s="2"/>
      <c r="AA24" s="10">
        <v>3058.08</v>
      </c>
    </row>
    <row r="25" ht="15">
      <c r="A25">
        <v>21</v>
      </c>
      <c r="B25" s="6"/>
      <c r="C25" s="2">
        <v>1</v>
      </c>
      <c r="D25" s="2"/>
      <c r="E25" s="2" t="s">
        <v>70</v>
      </c>
      <c r="F25" s="2" t="s">
        <v>71</v>
      </c>
      <c r="G25" s="6" t="s">
        <v>30</v>
      </c>
      <c r="H25" s="2" t="s">
        <v>31</v>
      </c>
      <c r="I25" s="2" t="s">
        <v>32</v>
      </c>
      <c r="J25" s="2">
        <v>9.411</v>
      </c>
      <c r="K25" s="2">
        <v>8.94</v>
      </c>
      <c r="L25" s="2">
        <v>11</v>
      </c>
      <c r="M25" s="2">
        <v>6</v>
      </c>
      <c r="N25" s="4" t="s">
        <v>33</v>
      </c>
      <c r="O25" s="9" t="s">
        <v>34</v>
      </c>
      <c r="P25" s="2">
        <v>66</v>
      </c>
      <c r="Q25" s="2">
        <v>0</v>
      </c>
      <c r="R25" s="6" t="s">
        <v>34</v>
      </c>
      <c r="S25" s="2"/>
      <c r="T25" s="2">
        <v>3428.12</v>
      </c>
      <c r="U25" s="2">
        <v>342.81</v>
      </c>
      <c r="V25" s="2"/>
      <c r="W25" s="2"/>
      <c r="X25" s="2"/>
      <c r="Y25" s="2">
        <v>754.19</v>
      </c>
      <c r="Z25" s="2"/>
      <c r="AA25" s="10">
        <v>4525.12</v>
      </c>
    </row>
    <row r="26" ht="15">
      <c r="A26">
        <v>22</v>
      </c>
      <c r="B26" s="6"/>
      <c r="C26" s="2">
        <v>1</v>
      </c>
      <c r="D26" s="2"/>
      <c r="E26" s="2" t="s">
        <v>72</v>
      </c>
      <c r="F26" s="2" t="s">
        <v>73</v>
      </c>
      <c r="G26" s="6" t="s">
        <v>30</v>
      </c>
      <c r="H26" s="2" t="s">
        <v>31</v>
      </c>
      <c r="I26" s="2" t="s">
        <v>32</v>
      </c>
      <c r="J26" s="2">
        <v>0.168</v>
      </c>
      <c r="K26" s="2">
        <v>0.16</v>
      </c>
      <c r="L26" s="2">
        <v>1.7</v>
      </c>
      <c r="M26" s="2">
        <v>4</v>
      </c>
      <c r="N26" s="4" t="s">
        <v>33</v>
      </c>
      <c r="O26" s="9" t="s">
        <v>34</v>
      </c>
      <c r="P26" s="2">
        <v>6.8</v>
      </c>
      <c r="Q26" s="2">
        <v>0</v>
      </c>
      <c r="R26" s="6" t="s">
        <v>34</v>
      </c>
      <c r="S26" s="2"/>
      <c r="T26" s="2">
        <v>348.24</v>
      </c>
      <c r="U26" s="2">
        <v>34.82</v>
      </c>
      <c r="V26" s="2"/>
      <c r="W26" s="2"/>
      <c r="X26" s="2"/>
      <c r="Y26" s="2">
        <v>76.61</v>
      </c>
      <c r="Z26" s="2"/>
      <c r="AA26" s="10">
        <v>459.67</v>
      </c>
    </row>
    <row r="27" ht="15">
      <c r="A27">
        <v>23</v>
      </c>
      <c r="B27" s="6"/>
      <c r="C27" s="2">
        <v>1</v>
      </c>
      <c r="D27" s="2"/>
      <c r="E27" s="2" t="s">
        <v>74</v>
      </c>
      <c r="F27" s="2" t="s">
        <v>75</v>
      </c>
      <c r="G27" s="6" t="s">
        <v>30</v>
      </c>
      <c r="H27" s="2" t="s">
        <v>31</v>
      </c>
      <c r="I27" s="2" t="s">
        <v>32</v>
      </c>
      <c r="J27" s="2">
        <v>7.411</v>
      </c>
      <c r="K27" s="2">
        <v>7.04</v>
      </c>
      <c r="L27" s="2">
        <v>12.25</v>
      </c>
      <c r="M27" s="2">
        <v>4</v>
      </c>
      <c r="N27" s="4" t="s">
        <v>33</v>
      </c>
      <c r="O27" s="9" t="s">
        <v>34</v>
      </c>
      <c r="P27" s="2">
        <v>49</v>
      </c>
      <c r="Q27" s="2">
        <v>0</v>
      </c>
      <c r="R27" s="6" t="s">
        <v>34</v>
      </c>
      <c r="S27" s="2"/>
      <c r="T27" s="2">
        <v>2547.74</v>
      </c>
      <c r="U27" s="2">
        <v>254.77</v>
      </c>
      <c r="V27" s="2"/>
      <c r="W27" s="2"/>
      <c r="X27" s="2"/>
      <c r="Y27" s="2">
        <v>560.5</v>
      </c>
      <c r="Z27" s="2"/>
      <c r="AA27" s="10">
        <v>3363.01</v>
      </c>
    </row>
    <row r="28" ht="15">
      <c r="A28">
        <v>24</v>
      </c>
      <c r="B28" s="6"/>
      <c r="C28" s="2">
        <v>1</v>
      </c>
      <c r="D28" s="2"/>
      <c r="E28" s="2" t="s">
        <v>76</v>
      </c>
      <c r="F28" s="2" t="s">
        <v>77</v>
      </c>
      <c r="G28" s="6" t="s">
        <v>30</v>
      </c>
      <c r="H28" s="2" t="s">
        <v>31</v>
      </c>
      <c r="I28" s="2" t="s">
        <v>32</v>
      </c>
      <c r="J28" s="2">
        <v>2.232</v>
      </c>
      <c r="K28" s="2">
        <v>2.12</v>
      </c>
      <c r="L28" s="2">
        <v>2.4</v>
      </c>
      <c r="M28" s="2">
        <v>4</v>
      </c>
      <c r="N28" s="4" t="s">
        <v>33</v>
      </c>
      <c r="O28" s="9" t="s">
        <v>34</v>
      </c>
      <c r="P28" s="2">
        <v>9.6</v>
      </c>
      <c r="Q28" s="2">
        <v>0</v>
      </c>
      <c r="R28" s="6" t="s">
        <v>34</v>
      </c>
      <c r="S28" s="2"/>
      <c r="T28" s="2">
        <v>503.97</v>
      </c>
      <c r="U28" s="2">
        <v>50.4</v>
      </c>
      <c r="V28" s="2"/>
      <c r="W28" s="2"/>
      <c r="X28" s="2"/>
      <c r="Y28" s="2">
        <v>110.87</v>
      </c>
      <c r="Z28" s="2"/>
      <c r="AA28" s="10">
        <v>665.24</v>
      </c>
    </row>
    <row r="29" ht="15">
      <c r="A29">
        <v>25</v>
      </c>
      <c r="B29" s="6"/>
      <c r="C29" s="2">
        <v>1</v>
      </c>
      <c r="D29" s="2"/>
      <c r="E29" s="2" t="s">
        <v>78</v>
      </c>
      <c r="F29" s="2" t="s">
        <v>79</v>
      </c>
      <c r="G29" s="6" t="s">
        <v>30</v>
      </c>
      <c r="H29" s="2" t="s">
        <v>31</v>
      </c>
      <c r="I29" s="2" t="s">
        <v>32</v>
      </c>
      <c r="J29" s="2">
        <v>0.488</v>
      </c>
      <c r="K29" s="2">
        <v>0.464</v>
      </c>
      <c r="L29" s="2">
        <v>1.8</v>
      </c>
      <c r="M29" s="2">
        <v>4</v>
      </c>
      <c r="N29" s="4" t="s">
        <v>33</v>
      </c>
      <c r="O29" s="9" t="s">
        <v>34</v>
      </c>
      <c r="P29" s="2">
        <v>7.2</v>
      </c>
      <c r="Q29" s="2">
        <v>0</v>
      </c>
      <c r="R29" s="6" t="s">
        <v>34</v>
      </c>
      <c r="S29" s="2"/>
      <c r="T29" s="2">
        <v>370.65</v>
      </c>
      <c r="U29" s="2">
        <v>37.07</v>
      </c>
      <c r="V29" s="2"/>
      <c r="W29" s="2"/>
      <c r="X29" s="2"/>
      <c r="Y29" s="2">
        <v>81.54</v>
      </c>
      <c r="Z29" s="2"/>
      <c r="AA29" s="10">
        <v>489.26</v>
      </c>
    </row>
    <row r="30" ht="15">
      <c r="A30">
        <v>26</v>
      </c>
      <c r="B30" s="6"/>
      <c r="C30" s="2">
        <v>1</v>
      </c>
      <c r="D30" s="2"/>
      <c r="E30" s="2" t="s">
        <v>80</v>
      </c>
      <c r="F30" s="2" t="s">
        <v>81</v>
      </c>
      <c r="G30" s="6" t="s">
        <v>30</v>
      </c>
      <c r="H30" s="2" t="s">
        <v>31</v>
      </c>
      <c r="I30" s="2" t="s">
        <v>32</v>
      </c>
      <c r="J30" s="2">
        <v>2.56</v>
      </c>
      <c r="K30" s="2">
        <v>2.432</v>
      </c>
      <c r="L30" s="2">
        <v>13</v>
      </c>
      <c r="M30" s="2">
        <v>4</v>
      </c>
      <c r="N30" s="4" t="s">
        <v>33</v>
      </c>
      <c r="O30" s="9" t="s">
        <v>34</v>
      </c>
      <c r="P30" s="2">
        <v>52</v>
      </c>
      <c r="Q30" s="2">
        <v>0</v>
      </c>
      <c r="R30" s="6" t="s">
        <v>34</v>
      </c>
      <c r="S30" s="2"/>
      <c r="T30" s="2">
        <v>2670.92</v>
      </c>
      <c r="U30" s="2">
        <v>267.09</v>
      </c>
      <c r="V30" s="2"/>
      <c r="W30" s="2"/>
      <c r="X30" s="2"/>
      <c r="Y30" s="2">
        <v>587.6</v>
      </c>
      <c r="Z30" s="2"/>
      <c r="AA30" s="10">
        <v>3525.61</v>
      </c>
    </row>
    <row r="31" ht="15">
      <c r="A31">
        <v>27</v>
      </c>
      <c r="B31" s="6"/>
      <c r="C31" s="2">
        <v>1</v>
      </c>
      <c r="D31" s="2"/>
      <c r="E31" s="2" t="s">
        <v>82</v>
      </c>
      <c r="F31" s="2" t="s">
        <v>83</v>
      </c>
      <c r="G31" s="6" t="s">
        <v>30</v>
      </c>
      <c r="H31" s="2" t="s">
        <v>31</v>
      </c>
      <c r="I31" s="2" t="s">
        <v>32</v>
      </c>
      <c r="J31" s="2">
        <v>1.053</v>
      </c>
      <c r="K31" s="2">
        <v>1</v>
      </c>
      <c r="L31" s="2">
        <v>3</v>
      </c>
      <c r="M31" s="2">
        <v>4</v>
      </c>
      <c r="N31" s="4" t="s">
        <v>33</v>
      </c>
      <c r="O31" s="9" t="s">
        <v>34</v>
      </c>
      <c r="P31" s="2">
        <v>12</v>
      </c>
      <c r="Q31" s="2">
        <v>0</v>
      </c>
      <c r="R31" s="6" t="s">
        <v>34</v>
      </c>
      <c r="S31" s="2"/>
      <c r="T31" s="2">
        <v>619.22</v>
      </c>
      <c r="U31" s="2">
        <v>61.92</v>
      </c>
      <c r="V31" s="2"/>
      <c r="W31" s="2"/>
      <c r="X31" s="2"/>
      <c r="Y31" s="2">
        <v>136.23</v>
      </c>
      <c r="Z31" s="2"/>
      <c r="AA31" s="10">
        <v>817.37</v>
      </c>
    </row>
    <row r="32" ht="15">
      <c r="A32">
        <v>28</v>
      </c>
      <c r="B32" s="6"/>
      <c r="C32" s="2">
        <v>1</v>
      </c>
      <c r="D32" s="2"/>
      <c r="E32" s="2" t="s">
        <v>84</v>
      </c>
      <c r="F32" s="2" t="s">
        <v>85</v>
      </c>
      <c r="G32" s="6" t="s">
        <v>30</v>
      </c>
      <c r="H32" s="2" t="s">
        <v>31</v>
      </c>
      <c r="I32" s="2" t="s">
        <v>32</v>
      </c>
      <c r="J32" s="2">
        <v>2.239</v>
      </c>
      <c r="K32" s="2">
        <v>2.127</v>
      </c>
      <c r="L32" s="2">
        <v>12.3</v>
      </c>
      <c r="M32" s="2">
        <v>3</v>
      </c>
      <c r="N32" s="4" t="s">
        <v>33</v>
      </c>
      <c r="O32" s="9" t="s">
        <v>34</v>
      </c>
      <c r="P32" s="2">
        <v>36.9</v>
      </c>
      <c r="Q32" s="2">
        <v>0</v>
      </c>
      <c r="R32" s="6" t="s">
        <v>34</v>
      </c>
      <c r="S32" s="2"/>
      <c r="T32" s="2">
        <v>1897.94</v>
      </c>
      <c r="U32" s="2">
        <v>189.79</v>
      </c>
      <c r="V32" s="2"/>
      <c r="W32" s="2"/>
      <c r="X32" s="2"/>
      <c r="Y32" s="2">
        <v>417.55</v>
      </c>
      <c r="Z32" s="2"/>
      <c r="AA32" s="10">
        <v>2505.28</v>
      </c>
    </row>
    <row r="33" ht="15">
      <c r="A33">
        <v>29</v>
      </c>
      <c r="B33" s="6"/>
      <c r="C33" s="2">
        <v>1</v>
      </c>
      <c r="D33" s="2"/>
      <c r="E33" s="2" t="s">
        <v>86</v>
      </c>
      <c r="F33" s="2" t="s">
        <v>87</v>
      </c>
      <c r="G33" s="6" t="s">
        <v>30</v>
      </c>
      <c r="H33" s="2" t="s">
        <v>31</v>
      </c>
      <c r="I33" s="2" t="s">
        <v>32</v>
      </c>
      <c r="J33" s="2">
        <v>3.678</v>
      </c>
      <c r="K33" s="2">
        <v>3.494</v>
      </c>
      <c r="L33" s="2">
        <v>16</v>
      </c>
      <c r="M33" s="2">
        <v>2</v>
      </c>
      <c r="N33" s="4" t="s">
        <v>33</v>
      </c>
      <c r="O33" s="9" t="s">
        <v>34</v>
      </c>
      <c r="P33" s="2">
        <v>32</v>
      </c>
      <c r="Q33" s="2">
        <v>0</v>
      </c>
      <c r="R33" s="6" t="s">
        <v>34</v>
      </c>
      <c r="S33" s="2"/>
      <c r="T33" s="2">
        <v>1656.65</v>
      </c>
      <c r="U33" s="2">
        <v>165.67</v>
      </c>
      <c r="V33" s="2"/>
      <c r="W33" s="2"/>
      <c r="X33" s="2"/>
      <c r="Y33" s="2">
        <v>364.46</v>
      </c>
      <c r="Z33" s="2"/>
      <c r="AA33" s="10">
        <v>2186.78</v>
      </c>
    </row>
    <row r="34" ht="15">
      <c r="A34">
        <v>30</v>
      </c>
      <c r="B34" s="6"/>
      <c r="C34" s="2">
        <v>1</v>
      </c>
      <c r="D34" s="2"/>
      <c r="E34" s="2" t="s">
        <v>88</v>
      </c>
      <c r="F34" s="2" t="s">
        <v>89</v>
      </c>
      <c r="G34" s="6" t="s">
        <v>30</v>
      </c>
      <c r="H34" s="2" t="s">
        <v>31</v>
      </c>
      <c r="I34" s="2" t="s">
        <v>32</v>
      </c>
      <c r="J34" s="2">
        <v>0.411</v>
      </c>
      <c r="K34" s="2">
        <v>0.39</v>
      </c>
      <c r="L34" s="2">
        <v>2.5</v>
      </c>
      <c r="M34" s="2">
        <v>2</v>
      </c>
      <c r="N34" s="4" t="s">
        <v>33</v>
      </c>
      <c r="O34" s="9" t="s">
        <v>34</v>
      </c>
      <c r="P34" s="2">
        <v>5</v>
      </c>
      <c r="Q34" s="2">
        <v>0</v>
      </c>
      <c r="R34" s="6" t="s">
        <v>34</v>
      </c>
      <c r="S34" s="2"/>
      <c r="T34" s="2">
        <v>257.84</v>
      </c>
      <c r="U34" s="2">
        <v>25.78</v>
      </c>
      <c r="V34" s="2"/>
      <c r="W34" s="2"/>
      <c r="X34" s="2"/>
      <c r="Y34" s="2">
        <v>56.72</v>
      </c>
      <c r="Z34" s="2"/>
      <c r="AA34" s="10">
        <v>340.34</v>
      </c>
    </row>
    <row r="35" ht="15">
      <c r="A35">
        <v>31</v>
      </c>
      <c r="B35" s="6"/>
      <c r="C35" s="2">
        <v>1</v>
      </c>
      <c r="D35" s="2"/>
      <c r="E35" s="2" t="s">
        <v>90</v>
      </c>
      <c r="F35" s="2" t="s">
        <v>91</v>
      </c>
      <c r="G35" s="6" t="s">
        <v>30</v>
      </c>
      <c r="H35" s="2" t="s">
        <v>31</v>
      </c>
      <c r="I35" s="2" t="s">
        <v>32</v>
      </c>
      <c r="J35" s="2">
        <v>20.034</v>
      </c>
      <c r="K35" s="2">
        <v>19.032</v>
      </c>
      <c r="L35" s="2">
        <v>0.71</v>
      </c>
      <c r="M35" s="2">
        <v>156</v>
      </c>
      <c r="N35" s="4" t="s">
        <v>33</v>
      </c>
      <c r="O35" s="9" t="s">
        <v>34</v>
      </c>
      <c r="P35" s="2">
        <v>110.76</v>
      </c>
      <c r="Q35" s="2">
        <v>0</v>
      </c>
      <c r="R35" s="6" t="s">
        <v>34</v>
      </c>
      <c r="S35" s="2"/>
      <c r="T35" s="2">
        <v>5779.22</v>
      </c>
      <c r="U35" s="2">
        <v>577.92</v>
      </c>
      <c r="V35" s="2"/>
      <c r="W35" s="2"/>
      <c r="X35" s="2"/>
      <c r="Y35" s="2">
        <v>1271.43</v>
      </c>
      <c r="Z35" s="2"/>
      <c r="AA35" s="10">
        <v>7628.57</v>
      </c>
    </row>
    <row r="36" ht="15">
      <c r="A36">
        <v>32</v>
      </c>
      <c r="B36" s="6"/>
      <c r="C36" s="2">
        <v>1</v>
      </c>
      <c r="D36" s="2"/>
      <c r="E36" s="2" t="s">
        <v>92</v>
      </c>
      <c r="F36" s="2" t="s">
        <v>93</v>
      </c>
      <c r="G36" s="6" t="s">
        <v>30</v>
      </c>
      <c r="H36" s="2" t="s">
        <v>31</v>
      </c>
      <c r="I36" s="2" t="s">
        <v>32</v>
      </c>
      <c r="J36" s="2">
        <v>5.474</v>
      </c>
      <c r="K36" s="2">
        <v>5.2</v>
      </c>
      <c r="L36" s="2">
        <v>2.12</v>
      </c>
      <c r="M36" s="2">
        <v>52</v>
      </c>
      <c r="N36" s="4" t="s">
        <v>33</v>
      </c>
      <c r="O36" s="9" t="s">
        <v>34</v>
      </c>
      <c r="P36" s="2">
        <v>110.24</v>
      </c>
      <c r="Q36" s="2">
        <v>0</v>
      </c>
      <c r="R36" s="6" t="s">
        <v>34</v>
      </c>
      <c r="S36" s="2"/>
      <c r="T36" s="2">
        <v>5662.65</v>
      </c>
      <c r="U36" s="2">
        <v>566.27</v>
      </c>
      <c r="V36" s="2"/>
      <c r="W36" s="2"/>
      <c r="X36" s="2"/>
      <c r="Y36" s="2">
        <v>1245.78</v>
      </c>
      <c r="Z36" s="2"/>
      <c r="AA36" s="10">
        <v>7474.7</v>
      </c>
    </row>
    <row r="37" ht="15">
      <c r="A37">
        <v>33</v>
      </c>
      <c r="B37" s="6"/>
      <c r="C37" s="2">
        <v>1</v>
      </c>
      <c r="D37" s="2"/>
      <c r="E37" s="2" t="s">
        <v>94</v>
      </c>
      <c r="F37" s="2" t="s">
        <v>95</v>
      </c>
      <c r="G37" s="6" t="s">
        <v>30</v>
      </c>
      <c r="H37" s="2" t="s">
        <v>31</v>
      </c>
      <c r="I37" s="2" t="s">
        <v>32</v>
      </c>
      <c r="J37" s="2">
        <v>11.655</v>
      </c>
      <c r="K37" s="2">
        <v>11.072</v>
      </c>
      <c r="L37" s="2">
        <v>3</v>
      </c>
      <c r="M37" s="2">
        <v>32</v>
      </c>
      <c r="N37" s="4" t="s">
        <v>33</v>
      </c>
      <c r="O37" s="9" t="s">
        <v>34</v>
      </c>
      <c r="P37" s="2">
        <v>96</v>
      </c>
      <c r="Q37" s="2">
        <v>0</v>
      </c>
      <c r="R37" s="6" t="s">
        <v>34</v>
      </c>
      <c r="S37" s="2"/>
      <c r="T37" s="2">
        <v>4973.78</v>
      </c>
      <c r="U37" s="2">
        <v>497.38</v>
      </c>
      <c r="V37" s="2"/>
      <c r="W37" s="2"/>
      <c r="X37" s="2"/>
      <c r="Y37" s="2">
        <v>1094.23</v>
      </c>
      <c r="Z37" s="2"/>
      <c r="AA37" s="10">
        <v>6565.39</v>
      </c>
    </row>
    <row r="38" ht="15">
      <c r="A38">
        <v>34</v>
      </c>
      <c r="B38" s="6"/>
      <c r="C38" s="2">
        <v>1</v>
      </c>
      <c r="D38" s="2"/>
      <c r="E38" s="2" t="s">
        <v>96</v>
      </c>
      <c r="F38" s="2" t="s">
        <v>97</v>
      </c>
      <c r="G38" s="6" t="s">
        <v>30</v>
      </c>
      <c r="H38" s="2" t="s">
        <v>31</v>
      </c>
      <c r="I38" s="2" t="s">
        <v>32</v>
      </c>
      <c r="J38" s="2">
        <v>52.358</v>
      </c>
      <c r="K38" s="2">
        <v>49.74</v>
      </c>
      <c r="L38" s="2">
        <v>11</v>
      </c>
      <c r="M38" s="2">
        <v>20</v>
      </c>
      <c r="N38" s="4" t="s">
        <v>33</v>
      </c>
      <c r="O38" s="9" t="s">
        <v>34</v>
      </c>
      <c r="P38" s="2">
        <v>220</v>
      </c>
      <c r="Q38" s="2">
        <v>0</v>
      </c>
      <c r="R38" s="6" t="s">
        <v>34</v>
      </c>
      <c r="S38" s="2"/>
      <c r="T38" s="2">
        <v>11556.82</v>
      </c>
      <c r="U38" s="2">
        <v>1155.68</v>
      </c>
      <c r="V38" s="2"/>
      <c r="W38" s="2"/>
      <c r="X38" s="2"/>
      <c r="Y38" s="2">
        <v>2542.5</v>
      </c>
      <c r="Z38" s="2"/>
      <c r="AA38" s="10">
        <v>15255</v>
      </c>
    </row>
    <row r="39" ht="15">
      <c r="A39">
        <v>35</v>
      </c>
      <c r="B39" s="6"/>
      <c r="C39" s="2">
        <v>1</v>
      </c>
      <c r="D39" s="2"/>
      <c r="E39" s="2" t="s">
        <v>98</v>
      </c>
      <c r="F39" s="2" t="s">
        <v>49</v>
      </c>
      <c r="G39" s="6" t="s">
        <v>30</v>
      </c>
      <c r="H39" s="2" t="s">
        <v>31</v>
      </c>
      <c r="I39" s="2" t="s">
        <v>32</v>
      </c>
      <c r="J39" s="2">
        <v>8.526</v>
      </c>
      <c r="K39" s="2">
        <v>8.1</v>
      </c>
      <c r="L39" s="2">
        <v>2</v>
      </c>
      <c r="M39" s="2">
        <v>20</v>
      </c>
      <c r="N39" s="4" t="s">
        <v>33</v>
      </c>
      <c r="O39" s="9" t="s">
        <v>34</v>
      </c>
      <c r="P39" s="2">
        <v>40</v>
      </c>
      <c r="Q39" s="2">
        <v>0</v>
      </c>
      <c r="R39" s="6" t="s">
        <v>34</v>
      </c>
      <c r="S39" s="2"/>
      <c r="T39" s="2">
        <v>2095.1</v>
      </c>
      <c r="U39" s="2">
        <v>209.51</v>
      </c>
      <c r="V39" s="2"/>
      <c r="W39" s="2"/>
      <c r="X39" s="2"/>
      <c r="Y39" s="2">
        <v>460.92</v>
      </c>
      <c r="Z39" s="2"/>
      <c r="AA39" s="10">
        <v>2765.53</v>
      </c>
    </row>
    <row r="40" ht="15">
      <c r="A40">
        <v>36</v>
      </c>
      <c r="B40" s="6"/>
      <c r="C40" s="2">
        <v>1</v>
      </c>
      <c r="D40" s="2"/>
      <c r="E40" s="2" t="s">
        <v>99</v>
      </c>
      <c r="F40" s="2" t="s">
        <v>56</v>
      </c>
      <c r="G40" s="6" t="s">
        <v>30</v>
      </c>
      <c r="H40" s="2" t="s">
        <v>31</v>
      </c>
      <c r="I40" s="2" t="s">
        <v>32</v>
      </c>
      <c r="J40" s="2">
        <v>9.006</v>
      </c>
      <c r="K40" s="2">
        <v>8.556</v>
      </c>
      <c r="L40" s="2">
        <v>7.9</v>
      </c>
      <c r="M40" s="2">
        <v>12</v>
      </c>
      <c r="N40" s="4" t="s">
        <v>33</v>
      </c>
      <c r="O40" s="9" t="s">
        <v>34</v>
      </c>
      <c r="P40" s="2">
        <v>94.8</v>
      </c>
      <c r="Q40" s="2">
        <v>0</v>
      </c>
      <c r="R40" s="6" t="s">
        <v>34</v>
      </c>
      <c r="S40" s="2"/>
      <c r="T40" s="2">
        <v>4896.13</v>
      </c>
      <c r="U40" s="2">
        <v>489.61</v>
      </c>
      <c r="V40" s="2"/>
      <c r="W40" s="2"/>
      <c r="X40" s="2"/>
      <c r="Y40" s="2">
        <v>1077.15</v>
      </c>
      <c r="Z40" s="2"/>
      <c r="AA40" s="10">
        <v>6462.89</v>
      </c>
    </row>
    <row r="41" ht="15">
      <c r="A41">
        <v>37</v>
      </c>
      <c r="B41" s="6"/>
      <c r="C41" s="2">
        <v>1</v>
      </c>
      <c r="D41" s="2"/>
      <c r="E41" s="2" t="s">
        <v>100</v>
      </c>
      <c r="F41" s="2" t="s">
        <v>101</v>
      </c>
      <c r="G41" s="6" t="s">
        <v>30</v>
      </c>
      <c r="H41" s="2" t="s">
        <v>31</v>
      </c>
      <c r="I41" s="2" t="s">
        <v>32</v>
      </c>
      <c r="J41" s="2">
        <v>0.842</v>
      </c>
      <c r="K41" s="2">
        <v>0.8</v>
      </c>
      <c r="L41" s="2">
        <v>1.65</v>
      </c>
      <c r="M41" s="2">
        <v>8</v>
      </c>
      <c r="N41" s="4" t="s">
        <v>33</v>
      </c>
      <c r="O41" s="9" t="s">
        <v>34</v>
      </c>
      <c r="P41" s="2">
        <v>13.2</v>
      </c>
      <c r="Q41" s="2">
        <v>0</v>
      </c>
      <c r="R41" s="6" t="s">
        <v>34</v>
      </c>
      <c r="S41" s="2"/>
      <c r="T41" s="2">
        <v>679.19</v>
      </c>
      <c r="U41" s="2">
        <v>67.92</v>
      </c>
      <c r="V41" s="2"/>
      <c r="W41" s="2"/>
      <c r="X41" s="2"/>
      <c r="Y41" s="2">
        <v>149.42</v>
      </c>
      <c r="Z41" s="2"/>
      <c r="AA41" s="10">
        <v>896.53</v>
      </c>
    </row>
    <row r="42" ht="15">
      <c r="A42">
        <v>38</v>
      </c>
      <c r="B42" s="6"/>
      <c r="C42" s="2">
        <v>1</v>
      </c>
      <c r="D42" s="2"/>
      <c r="E42" s="2" t="s">
        <v>102</v>
      </c>
      <c r="F42" s="2" t="s">
        <v>103</v>
      </c>
      <c r="G42" s="6" t="s">
        <v>30</v>
      </c>
      <c r="H42" s="2" t="s">
        <v>31</v>
      </c>
      <c r="I42" s="2" t="s">
        <v>32</v>
      </c>
      <c r="J42" s="2">
        <v>17.945</v>
      </c>
      <c r="K42" s="2">
        <v>17.048</v>
      </c>
      <c r="L42" s="2">
        <v>11</v>
      </c>
      <c r="M42" s="2">
        <v>8</v>
      </c>
      <c r="N42" s="4" t="s">
        <v>33</v>
      </c>
      <c r="O42" s="9" t="s">
        <v>34</v>
      </c>
      <c r="P42" s="2">
        <v>88</v>
      </c>
      <c r="Q42" s="2">
        <v>0</v>
      </c>
      <c r="R42" s="6" t="s">
        <v>34</v>
      </c>
      <c r="S42" s="2"/>
      <c r="T42" s="2">
        <v>4604.19</v>
      </c>
      <c r="U42" s="2">
        <v>460.42</v>
      </c>
      <c r="V42" s="2"/>
      <c r="W42" s="2"/>
      <c r="X42" s="2"/>
      <c r="Y42" s="2">
        <v>1012.92</v>
      </c>
      <c r="Z42" s="2"/>
      <c r="AA42" s="10">
        <v>6077.53</v>
      </c>
    </row>
    <row r="43" ht="15">
      <c r="A43">
        <v>39</v>
      </c>
      <c r="B43" s="6"/>
      <c r="C43" s="2">
        <v>1</v>
      </c>
      <c r="D43" s="2"/>
      <c r="E43" s="2" t="s">
        <v>104</v>
      </c>
      <c r="F43" s="2" t="s">
        <v>105</v>
      </c>
      <c r="G43" s="6" t="s">
        <v>30</v>
      </c>
      <c r="H43" s="2" t="s">
        <v>31</v>
      </c>
      <c r="I43" s="2" t="s">
        <v>32</v>
      </c>
      <c r="J43" s="2">
        <v>0.556</v>
      </c>
      <c r="K43" s="2">
        <v>0.528</v>
      </c>
      <c r="L43" s="2">
        <v>1.6</v>
      </c>
      <c r="M43" s="2">
        <v>8</v>
      </c>
      <c r="N43" s="4" t="s">
        <v>33</v>
      </c>
      <c r="O43" s="9" t="s">
        <v>34</v>
      </c>
      <c r="P43" s="2">
        <v>12.8</v>
      </c>
      <c r="Q43" s="2">
        <v>0</v>
      </c>
      <c r="R43" s="6" t="s">
        <v>34</v>
      </c>
      <c r="S43" s="2"/>
      <c r="T43" s="2">
        <v>657</v>
      </c>
      <c r="U43" s="2">
        <v>65.7</v>
      </c>
      <c r="V43" s="2"/>
      <c r="W43" s="2"/>
      <c r="X43" s="2"/>
      <c r="Y43" s="2">
        <v>144.54</v>
      </c>
      <c r="Z43" s="2"/>
      <c r="AA43" s="10">
        <v>867.24</v>
      </c>
    </row>
    <row r="44" ht="15">
      <c r="A44">
        <v>40</v>
      </c>
      <c r="B44" s="6"/>
      <c r="C44" s="2">
        <v>1</v>
      </c>
      <c r="D44" s="2"/>
      <c r="E44" s="2" t="s">
        <v>106</v>
      </c>
      <c r="F44" s="2" t="s">
        <v>107</v>
      </c>
      <c r="G44" s="6" t="s">
        <v>30</v>
      </c>
      <c r="H44" s="2" t="s">
        <v>31</v>
      </c>
      <c r="I44" s="2" t="s">
        <v>32</v>
      </c>
      <c r="J44" s="2">
        <v>7.693</v>
      </c>
      <c r="K44" s="2">
        <v>7.308</v>
      </c>
      <c r="L44" s="2">
        <v>9</v>
      </c>
      <c r="M44" s="2">
        <v>6</v>
      </c>
      <c r="N44" s="4" t="s">
        <v>33</v>
      </c>
      <c r="O44" s="9" t="s">
        <v>34</v>
      </c>
      <c r="P44" s="2">
        <v>54</v>
      </c>
      <c r="Q44" s="2">
        <v>0</v>
      </c>
      <c r="R44" s="6" t="s">
        <v>34</v>
      </c>
      <c r="S44" s="2"/>
      <c r="T44" s="2">
        <v>2804.78</v>
      </c>
      <c r="U44" s="2">
        <v>280.48</v>
      </c>
      <c r="V44" s="2"/>
      <c r="W44" s="2"/>
      <c r="X44" s="2"/>
      <c r="Y44" s="2">
        <v>617.05</v>
      </c>
      <c r="Z44" s="2"/>
      <c r="AA44" s="10">
        <v>3702.31</v>
      </c>
    </row>
    <row r="45" ht="15">
      <c r="A45">
        <v>41</v>
      </c>
      <c r="B45" s="6"/>
      <c r="C45" s="2">
        <v>1</v>
      </c>
      <c r="D45" s="2"/>
      <c r="E45" s="2" t="s">
        <v>108</v>
      </c>
      <c r="F45" s="2" t="s">
        <v>109</v>
      </c>
      <c r="G45" s="6" t="s">
        <v>30</v>
      </c>
      <c r="H45" s="2" t="s">
        <v>31</v>
      </c>
      <c r="I45" s="2" t="s">
        <v>32</v>
      </c>
      <c r="J45" s="2">
        <v>81.6</v>
      </c>
      <c r="K45" s="2">
        <v>77.52</v>
      </c>
      <c r="L45" s="2">
        <v>3.65</v>
      </c>
      <c r="M45" s="2">
        <v>120</v>
      </c>
      <c r="N45" s="4" t="s">
        <v>33</v>
      </c>
      <c r="O45" s="9" t="s">
        <v>34</v>
      </c>
      <c r="P45" s="2">
        <v>438</v>
      </c>
      <c r="Q45" s="2">
        <v>0</v>
      </c>
      <c r="R45" s="6" t="s">
        <v>34</v>
      </c>
      <c r="S45" s="2"/>
      <c r="T45" s="2">
        <v>22868.6</v>
      </c>
      <c r="U45" s="2">
        <v>2286.86</v>
      </c>
      <c r="V45" s="2"/>
      <c r="W45" s="2"/>
      <c r="X45" s="2"/>
      <c r="Y45" s="2">
        <v>5031.09</v>
      </c>
      <c r="Z45" s="2"/>
      <c r="AA45" s="10">
        <v>30186.55</v>
      </c>
    </row>
    <row r="46" ht="15">
      <c r="A46">
        <v>42</v>
      </c>
      <c r="B46" s="6"/>
      <c r="C46" s="2">
        <v>1</v>
      </c>
      <c r="D46" s="2"/>
      <c r="E46" s="2" t="s">
        <v>110</v>
      </c>
      <c r="F46" s="2" t="s">
        <v>111</v>
      </c>
      <c r="G46" s="6" t="s">
        <v>30</v>
      </c>
      <c r="H46" s="2" t="s">
        <v>31</v>
      </c>
      <c r="I46" s="2" t="s">
        <v>32</v>
      </c>
      <c r="J46" s="2">
        <v>42.442</v>
      </c>
      <c r="K46" s="2">
        <v>40.32</v>
      </c>
      <c r="L46" s="2">
        <v>5.8</v>
      </c>
      <c r="M46" s="2">
        <v>120</v>
      </c>
      <c r="N46" s="4" t="s">
        <v>33</v>
      </c>
      <c r="O46" s="9" t="s">
        <v>34</v>
      </c>
      <c r="P46" s="2">
        <v>696</v>
      </c>
      <c r="Q46" s="2">
        <v>0</v>
      </c>
      <c r="R46" s="6" t="s">
        <v>34</v>
      </c>
      <c r="S46" s="2"/>
      <c r="T46" s="2">
        <v>35799.83</v>
      </c>
      <c r="U46" s="2">
        <v>3579.98</v>
      </c>
      <c r="V46" s="2"/>
      <c r="W46" s="2"/>
      <c r="X46" s="2"/>
      <c r="Y46" s="2">
        <v>7875.96</v>
      </c>
      <c r="Z46" s="2"/>
      <c r="AA46" s="10">
        <v>47255.77</v>
      </c>
    </row>
    <row r="47" ht="15">
      <c r="A47">
        <v>43</v>
      </c>
      <c r="B47" s="6"/>
      <c r="C47" s="2">
        <v>1</v>
      </c>
      <c r="D47" s="2"/>
      <c r="E47" s="2" t="s">
        <v>112</v>
      </c>
      <c r="F47" s="2" t="s">
        <v>113</v>
      </c>
      <c r="G47" s="6" t="s">
        <v>30</v>
      </c>
      <c r="H47" s="2" t="s">
        <v>31</v>
      </c>
      <c r="I47" s="2" t="s">
        <v>32</v>
      </c>
      <c r="J47" s="2">
        <v>152.105</v>
      </c>
      <c r="K47" s="2">
        <v>144.5</v>
      </c>
      <c r="L47" s="2">
        <v>9.6</v>
      </c>
      <c r="M47" s="2">
        <v>100</v>
      </c>
      <c r="N47" s="4" t="s">
        <v>33</v>
      </c>
      <c r="O47" s="9" t="s">
        <v>34</v>
      </c>
      <c r="P47" s="2">
        <v>960</v>
      </c>
      <c r="Q47" s="2">
        <v>0</v>
      </c>
      <c r="R47" s="6" t="s">
        <v>34</v>
      </c>
      <c r="S47" s="2"/>
      <c r="T47" s="13">
        <f>SUM(49957.59,-0.01)</f>
        <v>0</v>
      </c>
      <c r="U47" s="13">
        <f>SUM(4995.76,-0.02)</f>
        <v>0</v>
      </c>
      <c r="V47" s="2"/>
      <c r="W47" s="2"/>
      <c r="X47" s="2"/>
      <c r="Y47" s="13">
        <f>SUM(10990.67,0.01)</f>
        <v>0</v>
      </c>
      <c r="Z47" s="2"/>
      <c r="AA47" s="10">
        <v>65944.02</v>
      </c>
    </row>
    <row r="48" ht="15">
      <c r="A48">
        <v>44</v>
      </c>
      <c r="B48" s="6"/>
      <c r="C48" s="2">
        <v>1</v>
      </c>
      <c r="D48" s="2"/>
      <c r="E48" s="2" t="s">
        <v>114</v>
      </c>
      <c r="F48" s="2" t="s">
        <v>115</v>
      </c>
      <c r="G48" s="6" t="s">
        <v>30</v>
      </c>
      <c r="H48" s="2" t="s">
        <v>31</v>
      </c>
      <c r="I48" s="2" t="s">
        <v>32</v>
      </c>
      <c r="J48" s="2">
        <v>12.105</v>
      </c>
      <c r="K48" s="2">
        <v>11.5</v>
      </c>
      <c r="L48" s="2">
        <v>1.9</v>
      </c>
      <c r="M48" s="2">
        <v>100</v>
      </c>
      <c r="N48" s="4" t="s">
        <v>33</v>
      </c>
      <c r="O48" s="9" t="s">
        <v>34</v>
      </c>
      <c r="P48" s="2">
        <v>190</v>
      </c>
      <c r="Q48" s="2">
        <v>0</v>
      </c>
      <c r="R48" s="6" t="s">
        <v>34</v>
      </c>
      <c r="S48" s="2"/>
      <c r="T48" s="2">
        <v>9776.15</v>
      </c>
      <c r="U48" s="2">
        <v>977.62</v>
      </c>
      <c r="V48" s="2"/>
      <c r="W48" s="2"/>
      <c r="X48" s="2"/>
      <c r="Y48" s="2">
        <v>2150.75</v>
      </c>
      <c r="Z48" s="2"/>
      <c r="AA48" s="10">
        <v>12904.52</v>
      </c>
    </row>
    <row r="49" ht="15">
      <c r="A49">
        <v>45</v>
      </c>
      <c r="B49" s="6"/>
      <c r="C49" s="2">
        <v>1</v>
      </c>
      <c r="D49" s="2"/>
      <c r="E49" s="2" t="s">
        <v>116</v>
      </c>
      <c r="F49" s="2" t="s">
        <v>117</v>
      </c>
      <c r="G49" s="6" t="s">
        <v>30</v>
      </c>
      <c r="H49" s="2" t="s">
        <v>31</v>
      </c>
      <c r="I49" s="2" t="s">
        <v>32</v>
      </c>
      <c r="J49" s="2">
        <v>51.461</v>
      </c>
      <c r="K49" s="2">
        <v>48.888</v>
      </c>
      <c r="L49" s="2">
        <v>3.65</v>
      </c>
      <c r="M49" s="2">
        <v>84</v>
      </c>
      <c r="N49" s="4" t="s">
        <v>33</v>
      </c>
      <c r="O49" s="9" t="s">
        <v>34</v>
      </c>
      <c r="P49" s="2">
        <v>306.6</v>
      </c>
      <c r="Q49" s="2">
        <v>0</v>
      </c>
      <c r="R49" s="6" t="s">
        <v>34</v>
      </c>
      <c r="S49" s="2"/>
      <c r="T49" s="2">
        <v>15973.03</v>
      </c>
      <c r="U49" s="2">
        <v>1597.3</v>
      </c>
      <c r="V49" s="2"/>
      <c r="W49" s="2"/>
      <c r="X49" s="2"/>
      <c r="Y49" s="2">
        <v>3514.07</v>
      </c>
      <c r="Z49" s="2"/>
      <c r="AA49" s="10">
        <v>21084.4</v>
      </c>
    </row>
    <row r="50" ht="15">
      <c r="A50">
        <v>46</v>
      </c>
      <c r="B50" s="6"/>
      <c r="C50" s="2">
        <v>1</v>
      </c>
      <c r="D50" s="2"/>
      <c r="E50" s="2" t="s">
        <v>118</v>
      </c>
      <c r="F50" s="2" t="s">
        <v>39</v>
      </c>
      <c r="G50" s="6" t="s">
        <v>30</v>
      </c>
      <c r="H50" s="2" t="s">
        <v>31</v>
      </c>
      <c r="I50" s="2" t="s">
        <v>32</v>
      </c>
      <c r="J50" s="2">
        <v>19.579</v>
      </c>
      <c r="K50" s="2">
        <v>18.6</v>
      </c>
      <c r="L50" s="2">
        <v>1.9</v>
      </c>
      <c r="M50" s="2">
        <v>60</v>
      </c>
      <c r="N50" s="4" t="s">
        <v>33</v>
      </c>
      <c r="O50" s="9" t="s">
        <v>34</v>
      </c>
      <c r="P50" s="2">
        <v>114</v>
      </c>
      <c r="Q50" s="2">
        <v>0</v>
      </c>
      <c r="R50" s="6" t="s">
        <v>34</v>
      </c>
      <c r="S50" s="2"/>
      <c r="T50" s="2">
        <v>5941.84</v>
      </c>
      <c r="U50" s="2">
        <v>594.18</v>
      </c>
      <c r="V50" s="2"/>
      <c r="W50" s="2"/>
      <c r="X50" s="2"/>
      <c r="Y50" s="2">
        <v>1307.2</v>
      </c>
      <c r="Z50" s="2"/>
      <c r="AA50" s="10">
        <v>7843.22</v>
      </c>
    </row>
    <row r="51" ht="15">
      <c r="A51">
        <v>47</v>
      </c>
      <c r="B51" s="6"/>
      <c r="C51" s="2">
        <v>1</v>
      </c>
      <c r="D51" s="2"/>
      <c r="E51" s="2" t="s">
        <v>119</v>
      </c>
      <c r="F51" s="2" t="s">
        <v>41</v>
      </c>
      <c r="G51" s="6" t="s">
        <v>30</v>
      </c>
      <c r="H51" s="2" t="s">
        <v>31</v>
      </c>
      <c r="I51" s="2" t="s">
        <v>32</v>
      </c>
      <c r="J51" s="2">
        <v>20</v>
      </c>
      <c r="K51" s="2">
        <v>19</v>
      </c>
      <c r="L51" s="2">
        <v>2.8</v>
      </c>
      <c r="M51" s="2">
        <v>50</v>
      </c>
      <c r="N51" s="4" t="s">
        <v>33</v>
      </c>
      <c r="O51" s="9" t="s">
        <v>34</v>
      </c>
      <c r="P51" s="2">
        <v>140</v>
      </c>
      <c r="Q51" s="2">
        <v>0</v>
      </c>
      <c r="R51" s="6" t="s">
        <v>34</v>
      </c>
      <c r="S51" s="2"/>
      <c r="T51" s="2">
        <v>7271.99</v>
      </c>
      <c r="U51" s="2">
        <v>727.2</v>
      </c>
      <c r="V51" s="2"/>
      <c r="W51" s="2"/>
      <c r="X51" s="2"/>
      <c r="Y51" s="2">
        <v>1599.84</v>
      </c>
      <c r="Z51" s="2"/>
      <c r="AA51" s="10">
        <v>9599.03</v>
      </c>
    </row>
    <row r="52" ht="15">
      <c r="A52">
        <v>48</v>
      </c>
      <c r="B52" s="6"/>
      <c r="C52" s="2">
        <v>1</v>
      </c>
      <c r="D52" s="2"/>
      <c r="E52" s="2" t="s">
        <v>120</v>
      </c>
      <c r="F52" s="2" t="s">
        <v>121</v>
      </c>
      <c r="G52" s="6" t="s">
        <v>30</v>
      </c>
      <c r="H52" s="2" t="s">
        <v>31</v>
      </c>
      <c r="I52" s="2" t="s">
        <v>32</v>
      </c>
      <c r="J52" s="2">
        <v>66.579</v>
      </c>
      <c r="K52" s="2">
        <v>63.25</v>
      </c>
      <c r="L52" s="2">
        <v>6.25</v>
      </c>
      <c r="M52" s="2">
        <v>50</v>
      </c>
      <c r="N52" s="4" t="s">
        <v>33</v>
      </c>
      <c r="O52" s="9" t="s">
        <v>34</v>
      </c>
      <c r="P52" s="2">
        <v>312.5</v>
      </c>
      <c r="Q52" s="2">
        <v>0</v>
      </c>
      <c r="R52" s="6" t="s">
        <v>34</v>
      </c>
      <c r="S52" s="2"/>
      <c r="T52" s="2">
        <v>16367.76</v>
      </c>
      <c r="U52" s="2">
        <v>1636.78</v>
      </c>
      <c r="V52" s="2"/>
      <c r="W52" s="2"/>
      <c r="X52" s="2"/>
      <c r="Y52" s="2">
        <v>3600.91</v>
      </c>
      <c r="Z52" s="2"/>
      <c r="AA52" s="10">
        <v>21605.45</v>
      </c>
    </row>
    <row r="53" ht="15">
      <c r="A53">
        <v>49</v>
      </c>
      <c r="B53" s="6"/>
      <c r="C53" s="2">
        <v>1</v>
      </c>
      <c r="D53" s="2"/>
      <c r="E53" s="2" t="s">
        <v>122</v>
      </c>
      <c r="F53" s="2" t="s">
        <v>123</v>
      </c>
      <c r="G53" s="6" t="s">
        <v>30</v>
      </c>
      <c r="H53" s="2" t="s">
        <v>31</v>
      </c>
      <c r="I53" s="2" t="s">
        <v>32</v>
      </c>
      <c r="J53" s="2">
        <v>46.326</v>
      </c>
      <c r="K53" s="2">
        <v>44.01</v>
      </c>
      <c r="L53" s="2">
        <v>9.6</v>
      </c>
      <c r="M53" s="2">
        <v>30</v>
      </c>
      <c r="N53" s="4" t="s">
        <v>33</v>
      </c>
      <c r="O53" s="9" t="s">
        <v>34</v>
      </c>
      <c r="P53" s="2">
        <v>288</v>
      </c>
      <c r="Q53" s="2">
        <v>0</v>
      </c>
      <c r="R53" s="6" t="s">
        <v>34</v>
      </c>
      <c r="S53" s="2"/>
      <c r="T53" s="2">
        <v>14991.57</v>
      </c>
      <c r="U53" s="2">
        <v>1499.16</v>
      </c>
      <c r="V53" s="2"/>
      <c r="W53" s="2"/>
      <c r="X53" s="2"/>
      <c r="Y53" s="2">
        <v>3298.15</v>
      </c>
      <c r="Z53" s="2"/>
      <c r="AA53" s="10">
        <v>19788.88</v>
      </c>
    </row>
    <row r="54" ht="15">
      <c r="A54">
        <v>50</v>
      </c>
      <c r="B54" s="6"/>
      <c r="C54" s="2">
        <v>1</v>
      </c>
      <c r="D54" s="2"/>
      <c r="E54" s="2" t="s">
        <v>124</v>
      </c>
      <c r="F54" s="2" t="s">
        <v>52</v>
      </c>
      <c r="G54" s="6" t="s">
        <v>30</v>
      </c>
      <c r="H54" s="2" t="s">
        <v>31</v>
      </c>
      <c r="I54" s="2" t="s">
        <v>32</v>
      </c>
      <c r="J54" s="2">
        <v>31.158</v>
      </c>
      <c r="K54" s="2">
        <v>29.6</v>
      </c>
      <c r="L54" s="2">
        <v>8.5</v>
      </c>
      <c r="M54" s="2">
        <v>20</v>
      </c>
      <c r="N54" s="4" t="s">
        <v>33</v>
      </c>
      <c r="O54" s="9" t="s">
        <v>34</v>
      </c>
      <c r="P54" s="2">
        <v>170</v>
      </c>
      <c r="Q54" s="2">
        <v>0</v>
      </c>
      <c r="R54" s="6" t="s">
        <v>34</v>
      </c>
      <c r="S54" s="2"/>
      <c r="T54" s="2">
        <v>8872.77</v>
      </c>
      <c r="U54" s="2">
        <v>887.28</v>
      </c>
      <c r="V54" s="2"/>
      <c r="W54" s="2"/>
      <c r="X54" s="2"/>
      <c r="Y54" s="2">
        <v>1952.01</v>
      </c>
      <c r="Z54" s="2"/>
      <c r="AA54" s="10">
        <v>11712.06</v>
      </c>
    </row>
    <row r="55" ht="15">
      <c r="A55">
        <v>51</v>
      </c>
      <c r="B55" s="6"/>
      <c r="C55" s="2">
        <v>1</v>
      </c>
      <c r="D55" s="2"/>
      <c r="E55" s="2" t="s">
        <v>125</v>
      </c>
      <c r="F55" s="2" t="s">
        <v>126</v>
      </c>
      <c r="G55" s="6" t="s">
        <v>30</v>
      </c>
      <c r="H55" s="2" t="s">
        <v>31</v>
      </c>
      <c r="I55" s="2" t="s">
        <v>32</v>
      </c>
      <c r="J55" s="2">
        <v>128.842</v>
      </c>
      <c r="K55" s="2">
        <v>122.4</v>
      </c>
      <c r="L55" s="2">
        <v>47.25</v>
      </c>
      <c r="M55" s="2">
        <v>20</v>
      </c>
      <c r="N55" s="4" t="s">
        <v>33</v>
      </c>
      <c r="O55" s="9" t="s">
        <v>34</v>
      </c>
      <c r="P55" s="2">
        <v>945</v>
      </c>
      <c r="Q55" s="2">
        <v>0</v>
      </c>
      <c r="R55" s="6" t="s">
        <v>34</v>
      </c>
      <c r="S55" s="2"/>
      <c r="T55" s="2">
        <v>49047.87</v>
      </c>
      <c r="U55" s="2">
        <v>4904.79</v>
      </c>
      <c r="V55" s="2"/>
      <c r="W55" s="2"/>
      <c r="X55" s="2"/>
      <c r="Y55" s="2">
        <v>10790.53</v>
      </c>
      <c r="Z55" s="2"/>
      <c r="AA55" s="10">
        <v>64743.19</v>
      </c>
    </row>
    <row r="56" ht="15">
      <c r="A56">
        <v>52</v>
      </c>
      <c r="B56" s="6"/>
      <c r="C56" s="2">
        <v>1</v>
      </c>
      <c r="D56" s="2"/>
      <c r="E56" s="2" t="s">
        <v>127</v>
      </c>
      <c r="F56" s="2" t="s">
        <v>128</v>
      </c>
      <c r="G56" s="6" t="s">
        <v>30</v>
      </c>
      <c r="H56" s="2" t="s">
        <v>31</v>
      </c>
      <c r="I56" s="2" t="s">
        <v>32</v>
      </c>
      <c r="J56" s="2">
        <v>1.011</v>
      </c>
      <c r="K56" s="2">
        <v>0.96</v>
      </c>
      <c r="L56" s="2">
        <v>7</v>
      </c>
      <c r="M56" s="2">
        <v>6</v>
      </c>
      <c r="N56" s="4" t="s">
        <v>33</v>
      </c>
      <c r="O56" s="9" t="s">
        <v>34</v>
      </c>
      <c r="P56" s="2">
        <v>42</v>
      </c>
      <c r="Q56" s="2">
        <v>0</v>
      </c>
      <c r="R56" s="6" t="s">
        <v>34</v>
      </c>
      <c r="S56" s="2"/>
      <c r="T56" s="2">
        <v>2150.75</v>
      </c>
      <c r="U56" s="2">
        <v>215.08</v>
      </c>
      <c r="V56" s="2"/>
      <c r="W56" s="2"/>
      <c r="X56" s="2"/>
      <c r="Y56" s="2">
        <v>473.17</v>
      </c>
      <c r="Z56" s="2"/>
      <c r="AA56" s="10">
        <v>2839</v>
      </c>
    </row>
    <row r="57" ht="15">
      <c r="A57">
        <v>53</v>
      </c>
      <c r="B57" s="6"/>
      <c r="C57" s="2">
        <v>1</v>
      </c>
      <c r="D57" s="2"/>
      <c r="E57" s="2" t="s">
        <v>129</v>
      </c>
      <c r="F57" s="2" t="s">
        <v>71</v>
      </c>
      <c r="G57" s="6" t="s">
        <v>30</v>
      </c>
      <c r="H57" s="2" t="s">
        <v>31</v>
      </c>
      <c r="I57" s="2" t="s">
        <v>32</v>
      </c>
      <c r="J57" s="2">
        <v>10.863</v>
      </c>
      <c r="K57" s="2">
        <v>10.32</v>
      </c>
      <c r="L57" s="2">
        <v>13</v>
      </c>
      <c r="M57" s="2">
        <v>6</v>
      </c>
      <c r="N57" s="4" t="s">
        <v>33</v>
      </c>
      <c r="O57" s="9" t="s">
        <v>34</v>
      </c>
      <c r="P57" s="2">
        <v>78</v>
      </c>
      <c r="Q57" s="2">
        <v>0</v>
      </c>
      <c r="R57" s="6" t="s">
        <v>34</v>
      </c>
      <c r="S57" s="2"/>
      <c r="T57" s="2">
        <v>4049.81</v>
      </c>
      <c r="U57" s="2">
        <v>404.98</v>
      </c>
      <c r="V57" s="2"/>
      <c r="W57" s="2"/>
      <c r="X57" s="2"/>
      <c r="Y57" s="2">
        <v>890.96</v>
      </c>
      <c r="Z57" s="2"/>
      <c r="AA57" s="10">
        <v>5345.75</v>
      </c>
    </row>
    <row r="58" ht="15">
      <c r="A58" s="11"/>
      <c r="B58" s="11"/>
      <c r="C58" s="11"/>
      <c r="D58" s="11"/>
      <c r="E58" s="11"/>
      <c r="F58" s="11" t="s">
        <v>130</v>
      </c>
      <c r="G58" s="11"/>
      <c r="H58" s="11"/>
      <c r="I58" s="11"/>
      <c r="J58" s="11">
        <f>SUM(J5:J57)</f>
        <v>0</v>
      </c>
      <c r="K58" s="11">
        <f>SUM(K5:K57)</f>
        <v>0</v>
      </c>
      <c r="L58" s="11"/>
      <c r="M58" s="11">
        <f>SUM(M5:M57)</f>
        <v>0</v>
      </c>
      <c r="N58" s="12"/>
      <c r="O58" s="14"/>
      <c r="P58" s="11">
        <f>SUM(P5:P57)</f>
        <v>0</v>
      </c>
      <c r="Q58" s="11">
        <f>SUM(Q5:Q57)</f>
        <v>0</v>
      </c>
      <c r="R58" s="11"/>
      <c r="S58" s="11">
        <f>SUM(S5:S57)</f>
        <v>0</v>
      </c>
      <c r="T58" s="11"/>
      <c r="U58" s="11"/>
      <c r="V58" s="11"/>
      <c r="W58" s="11"/>
      <c r="X58" s="11"/>
      <c r="Y58" s="11"/>
      <c r="Z58" s="11"/>
      <c r="AA58" s="11"/>
    </row>
    <row r="59" ht="15">
      <c r="A59">
        <v>1</v>
      </c>
      <c r="B59" s="6" t="s">
        <v>131</v>
      </c>
      <c r="C59" s="2">
        <v>2</v>
      </c>
      <c r="D59" s="2"/>
      <c r="E59" s="2" t="s">
        <v>132</v>
      </c>
      <c r="F59" s="2" t="s">
        <v>133</v>
      </c>
      <c r="G59" s="6" t="s">
        <v>30</v>
      </c>
      <c r="H59" s="2" t="s">
        <v>31</v>
      </c>
      <c r="I59" s="2" t="s">
        <v>32</v>
      </c>
      <c r="J59" s="2">
        <v>3.095</v>
      </c>
      <c r="K59" s="2">
        <v>2.94</v>
      </c>
      <c r="L59" s="2">
        <v>12.1</v>
      </c>
      <c r="M59" s="2">
        <v>4</v>
      </c>
      <c r="N59" s="4" t="s">
        <v>33</v>
      </c>
      <c r="O59" s="9" t="s">
        <v>34</v>
      </c>
      <c r="P59" s="2">
        <v>48.4</v>
      </c>
      <c r="Q59" s="2">
        <v>0</v>
      </c>
      <c r="R59" s="6" t="s">
        <v>34</v>
      </c>
      <c r="S59" s="2"/>
      <c r="T59" s="2">
        <v>2490.42</v>
      </c>
      <c r="U59" s="2">
        <v>124.52</v>
      </c>
      <c r="V59" s="2"/>
      <c r="W59" s="2"/>
      <c r="X59" s="2"/>
      <c r="Y59" s="2">
        <v>522.99</v>
      </c>
      <c r="Z59" s="2"/>
      <c r="AA59" s="10">
        <v>3137.93</v>
      </c>
    </row>
    <row r="60" ht="15">
      <c r="A60" s="11"/>
      <c r="B60" s="11"/>
      <c r="C60" s="11"/>
      <c r="D60" s="11"/>
      <c r="E60" s="11"/>
      <c r="F60" s="11" t="s">
        <v>134</v>
      </c>
      <c r="G60" s="11"/>
      <c r="H60" s="11"/>
      <c r="I60" s="11"/>
      <c r="J60" s="11">
        <f>SUM(J59:J59)</f>
        <v>0</v>
      </c>
      <c r="K60" s="11">
        <f>SUM(K59:K59)</f>
        <v>0</v>
      </c>
      <c r="L60" s="11"/>
      <c r="M60" s="11">
        <f>SUM(M59:M59)</f>
        <v>0</v>
      </c>
      <c r="N60" s="12"/>
      <c r="O60" s="14"/>
      <c r="P60" s="11">
        <f>SUM(P59:P59)</f>
        <v>0</v>
      </c>
      <c r="Q60" s="11">
        <f>SUM(Q59:Q59)</f>
        <v>0</v>
      </c>
      <c r="R60" s="11"/>
      <c r="S60" s="11">
        <f>SUM(S59:S59)</f>
        <v>0</v>
      </c>
      <c r="T60" s="11"/>
      <c r="U60" s="11"/>
      <c r="V60" s="11"/>
      <c r="W60" s="11"/>
      <c r="X60" s="11"/>
      <c r="Y60" s="11"/>
      <c r="Z60" s="11"/>
      <c r="AA60" s="11"/>
    </row>
    <row r="61" ht="15">
      <c r="A61">
        <v>1</v>
      </c>
      <c r="B61" s="6" t="s">
        <v>135</v>
      </c>
      <c r="C61" s="2">
        <v>3</v>
      </c>
      <c r="D61" s="2"/>
      <c r="E61" s="2" t="s">
        <v>136</v>
      </c>
      <c r="F61" s="2" t="s">
        <v>137</v>
      </c>
      <c r="G61" s="6" t="s">
        <v>30</v>
      </c>
      <c r="H61" s="2" t="s">
        <v>31</v>
      </c>
      <c r="I61" s="2" t="s">
        <v>138</v>
      </c>
      <c r="J61" s="2">
        <v>9.158</v>
      </c>
      <c r="K61" s="2">
        <v>8.7</v>
      </c>
      <c r="L61" s="2">
        <v>1</v>
      </c>
      <c r="M61" s="2">
        <v>60</v>
      </c>
      <c r="N61" s="4" t="s">
        <v>33</v>
      </c>
      <c r="O61" s="9" t="s">
        <v>34</v>
      </c>
      <c r="P61" s="2">
        <v>60</v>
      </c>
      <c r="Q61" s="2">
        <v>0</v>
      </c>
      <c r="R61" s="6" t="s">
        <v>34</v>
      </c>
      <c r="S61" s="2"/>
      <c r="T61" s="2">
        <v>3120.19</v>
      </c>
      <c r="U61" s="2">
        <v>202.81</v>
      </c>
      <c r="V61" s="2"/>
      <c r="W61" s="2"/>
      <c r="X61" s="2"/>
      <c r="Y61" s="2">
        <v>664.6</v>
      </c>
      <c r="Z61" s="2"/>
      <c r="AA61" s="10">
        <v>3987.6</v>
      </c>
    </row>
    <row r="62" ht="15">
      <c r="A62">
        <v>2</v>
      </c>
      <c r="B62" s="6"/>
      <c r="C62" s="2">
        <v>3</v>
      </c>
      <c r="D62" s="2"/>
      <c r="E62" s="2" t="s">
        <v>139</v>
      </c>
      <c r="F62" s="2" t="s">
        <v>140</v>
      </c>
      <c r="G62" s="6" t="s">
        <v>30</v>
      </c>
      <c r="H62" s="2" t="s">
        <v>31</v>
      </c>
      <c r="I62" s="2" t="s">
        <v>138</v>
      </c>
      <c r="J62" s="2">
        <v>88.295</v>
      </c>
      <c r="K62" s="2">
        <v>83.88</v>
      </c>
      <c r="L62" s="2">
        <v>7.5</v>
      </c>
      <c r="M62" s="2">
        <v>40</v>
      </c>
      <c r="N62" s="4" t="s">
        <v>33</v>
      </c>
      <c r="O62" s="9" t="s">
        <v>34</v>
      </c>
      <c r="P62" s="2">
        <v>300</v>
      </c>
      <c r="Q62" s="2">
        <v>0</v>
      </c>
      <c r="R62" s="6" t="s">
        <v>34</v>
      </c>
      <c r="S62" s="2"/>
      <c r="T62" s="13">
        <f>SUM(15863.78,0.01)</f>
        <v>0</v>
      </c>
      <c r="U62" s="2">
        <v>1031.15</v>
      </c>
      <c r="V62" s="2"/>
      <c r="W62" s="2"/>
      <c r="X62" s="2"/>
      <c r="Y62" s="2">
        <v>3378.99</v>
      </c>
      <c r="Z62" s="2"/>
      <c r="AA62" s="10">
        <v>20273.92</v>
      </c>
    </row>
    <row r="63" ht="15">
      <c r="A63" s="11"/>
      <c r="B63" s="11"/>
      <c r="C63" s="11"/>
      <c r="D63" s="11"/>
      <c r="E63" s="11"/>
      <c r="F63" s="11" t="s">
        <v>141</v>
      </c>
      <c r="G63" s="11"/>
      <c r="H63" s="11"/>
      <c r="I63" s="11"/>
      <c r="J63" s="11">
        <f>SUM(J61:J62)</f>
        <v>0</v>
      </c>
      <c r="K63" s="11">
        <f>SUM(K61:K62)</f>
        <v>0</v>
      </c>
      <c r="L63" s="11"/>
      <c r="M63" s="11">
        <f>SUM(M61:M62)</f>
        <v>0</v>
      </c>
      <c r="N63" s="12"/>
      <c r="O63" s="14"/>
      <c r="P63" s="11">
        <f>SUM(P61:P62)</f>
        <v>0</v>
      </c>
      <c r="Q63" s="11">
        <f>SUM(Q61:Q62)</f>
        <v>0</v>
      </c>
      <c r="R63" s="11"/>
      <c r="S63" s="11">
        <f>SUM(S61:S62)</f>
        <v>0</v>
      </c>
      <c r="T63" s="11"/>
      <c r="U63" s="11"/>
      <c r="V63" s="11"/>
      <c r="W63" s="11"/>
      <c r="X63" s="11"/>
      <c r="Y63" s="11"/>
      <c r="Z63" s="11"/>
      <c r="AA63" s="11"/>
    </row>
    <row r="64" ht="15">
      <c r="A64">
        <v>1</v>
      </c>
      <c r="B64" s="6" t="s">
        <v>142</v>
      </c>
      <c r="C64" s="2">
        <v>4</v>
      </c>
      <c r="D64" s="2"/>
      <c r="E64" s="2" t="s">
        <v>143</v>
      </c>
      <c r="F64" s="2" t="s">
        <v>144</v>
      </c>
      <c r="G64" s="6" t="s">
        <v>30</v>
      </c>
      <c r="H64" s="2" t="s">
        <v>31</v>
      </c>
      <c r="I64" s="2" t="s">
        <v>138</v>
      </c>
      <c r="J64" s="2">
        <v>0.659</v>
      </c>
      <c r="K64" s="2">
        <v>0.626</v>
      </c>
      <c r="L64" s="2">
        <v>3.88</v>
      </c>
      <c r="M64" s="2">
        <v>2</v>
      </c>
      <c r="N64" s="4" t="s">
        <v>33</v>
      </c>
      <c r="O64" s="9" t="s">
        <v>34</v>
      </c>
      <c r="P64" s="2">
        <v>7.76</v>
      </c>
      <c r="Q64" s="2">
        <v>0</v>
      </c>
      <c r="R64" s="6" t="s">
        <v>34</v>
      </c>
      <c r="S64" s="2"/>
      <c r="T64" s="2">
        <v>400.3</v>
      </c>
      <c r="U64" s="2">
        <v>20.02</v>
      </c>
      <c r="V64" s="2"/>
      <c r="W64" s="2"/>
      <c r="X64" s="2"/>
      <c r="Y64" s="2">
        <v>84.06</v>
      </c>
      <c r="Z64" s="2"/>
      <c r="AA64" s="10">
        <v>504.38</v>
      </c>
    </row>
    <row r="65" ht="15">
      <c r="A65" s="11"/>
      <c r="B65" s="11"/>
      <c r="C65" s="11"/>
      <c r="D65" s="11"/>
      <c r="E65" s="11"/>
      <c r="F65" s="11" t="s">
        <v>145</v>
      </c>
      <c r="G65" s="11"/>
      <c r="H65" s="11"/>
      <c r="I65" s="11"/>
      <c r="J65" s="11">
        <f>SUM(J64:J64)</f>
        <v>0</v>
      </c>
      <c r="K65" s="11">
        <f>SUM(K64:K64)</f>
        <v>0</v>
      </c>
      <c r="L65" s="11"/>
      <c r="M65" s="11">
        <f>SUM(M64:M64)</f>
        <v>0</v>
      </c>
      <c r="N65" s="12"/>
      <c r="O65" s="14"/>
      <c r="P65" s="11">
        <f>SUM(P64:P64)</f>
        <v>0</v>
      </c>
      <c r="Q65" s="11">
        <f>SUM(Q64:Q64)</f>
        <v>0</v>
      </c>
      <c r="R65" s="11"/>
      <c r="S65" s="11">
        <f>SUM(S64:S64)</f>
        <v>0</v>
      </c>
      <c r="T65" s="11"/>
      <c r="U65" s="11"/>
      <c r="V65" s="11"/>
      <c r="W65" s="11"/>
      <c r="X65" s="11"/>
      <c r="Y65" s="11"/>
      <c r="Z65" s="11"/>
      <c r="AA65" s="11"/>
    </row>
    <row r="66" ht="15">
      <c r="A66">
        <v>1</v>
      </c>
      <c r="B66" s="6" t="s">
        <v>146</v>
      </c>
      <c r="C66" s="2">
        <v>5</v>
      </c>
      <c r="D66" s="2"/>
      <c r="E66" s="2" t="s">
        <v>147</v>
      </c>
      <c r="F66" s="2" t="s">
        <v>148</v>
      </c>
      <c r="G66" s="6" t="s">
        <v>30</v>
      </c>
      <c r="H66" s="2" t="s">
        <v>31</v>
      </c>
      <c r="I66" s="2" t="s">
        <v>32</v>
      </c>
      <c r="J66" s="2">
        <v>1.579</v>
      </c>
      <c r="K66" s="2">
        <v>1.5</v>
      </c>
      <c r="L66" s="2">
        <v>0.85</v>
      </c>
      <c r="M66" s="2">
        <v>10</v>
      </c>
      <c r="N66" s="4" t="s">
        <v>33</v>
      </c>
      <c r="O66" s="9" t="s">
        <v>34</v>
      </c>
      <c r="P66" s="2">
        <v>8.5</v>
      </c>
      <c r="Q66" s="2">
        <v>0</v>
      </c>
      <c r="R66" s="6" t="s">
        <v>34</v>
      </c>
      <c r="S66" s="2"/>
      <c r="T66" s="2">
        <v>443.77</v>
      </c>
      <c r="U66" s="2">
        <v>44.38</v>
      </c>
      <c r="V66" s="2"/>
      <c r="W66" s="2"/>
      <c r="X66" s="2"/>
      <c r="Y66" s="2">
        <v>97.63</v>
      </c>
      <c r="Z66" s="2"/>
      <c r="AA66" s="10">
        <v>585.78</v>
      </c>
    </row>
    <row r="67" ht="15">
      <c r="A67">
        <v>2</v>
      </c>
      <c r="B67" s="6"/>
      <c r="C67" s="2">
        <v>5</v>
      </c>
      <c r="D67" s="2"/>
      <c r="E67" s="2" t="s">
        <v>149</v>
      </c>
      <c r="F67" s="2" t="s">
        <v>150</v>
      </c>
      <c r="G67" s="6" t="s">
        <v>30</v>
      </c>
      <c r="H67" s="2" t="s">
        <v>31</v>
      </c>
      <c r="I67" s="2" t="s">
        <v>32</v>
      </c>
      <c r="J67" s="2">
        <v>0.568</v>
      </c>
      <c r="K67" s="2">
        <v>0.54</v>
      </c>
      <c r="L67" s="2">
        <v>1.05</v>
      </c>
      <c r="M67" s="2">
        <v>20</v>
      </c>
      <c r="N67" s="4" t="s">
        <v>33</v>
      </c>
      <c r="O67" s="9" t="s">
        <v>34</v>
      </c>
      <c r="P67" s="2">
        <v>21</v>
      </c>
      <c r="Q67" s="2">
        <v>0</v>
      </c>
      <c r="R67" s="6" t="s">
        <v>34</v>
      </c>
      <c r="S67" s="2"/>
      <c r="T67" s="2">
        <v>1075.76</v>
      </c>
      <c r="U67" s="13">
        <f>SUM(107.58,-0.01)</f>
        <v>0</v>
      </c>
      <c r="V67" s="2"/>
      <c r="W67" s="2"/>
      <c r="X67" s="2"/>
      <c r="Y67" s="2">
        <v>236.67</v>
      </c>
      <c r="Z67" s="2"/>
      <c r="AA67" s="10">
        <v>1420.01</v>
      </c>
    </row>
    <row r="68" ht="15">
      <c r="A68">
        <v>3</v>
      </c>
      <c r="B68" s="6"/>
      <c r="C68" s="2">
        <v>5</v>
      </c>
      <c r="D68" s="2"/>
      <c r="E68" s="2" t="s">
        <v>151</v>
      </c>
      <c r="F68" s="2" t="s">
        <v>152</v>
      </c>
      <c r="G68" s="6" t="s">
        <v>30</v>
      </c>
      <c r="H68" s="2" t="s">
        <v>31</v>
      </c>
      <c r="I68" s="2" t="s">
        <v>32</v>
      </c>
      <c r="J68" s="2">
        <v>0.147</v>
      </c>
      <c r="K68" s="2">
        <v>0.14</v>
      </c>
      <c r="L68" s="2">
        <v>0.85</v>
      </c>
      <c r="M68" s="2">
        <v>10</v>
      </c>
      <c r="N68" s="4" t="s">
        <v>33</v>
      </c>
      <c r="O68" s="9" t="s">
        <v>34</v>
      </c>
      <c r="P68" s="2">
        <v>8.5</v>
      </c>
      <c r="Q68" s="2">
        <v>0</v>
      </c>
      <c r="R68" s="6" t="s">
        <v>34</v>
      </c>
      <c r="S68" s="2"/>
      <c r="T68" s="2">
        <v>434.91</v>
      </c>
      <c r="U68" s="2">
        <v>43.49</v>
      </c>
      <c r="V68" s="2"/>
      <c r="W68" s="2"/>
      <c r="X68" s="2"/>
      <c r="Y68" s="2">
        <v>95.68</v>
      </c>
      <c r="Z68" s="2"/>
      <c r="AA68" s="10">
        <v>574.08</v>
      </c>
    </row>
    <row r="69" ht="15">
      <c r="A69" s="11"/>
      <c r="B69" s="11"/>
      <c r="C69" s="11"/>
      <c r="D69" s="11"/>
      <c r="E69" s="11"/>
      <c r="F69" s="11" t="s">
        <v>153</v>
      </c>
      <c r="G69" s="11"/>
      <c r="H69" s="11"/>
      <c r="I69" s="11"/>
      <c r="J69" s="11">
        <f>SUM(J66:J68)</f>
        <v>0</v>
      </c>
      <c r="K69" s="11">
        <f>SUM(K66:K68)</f>
        <v>0</v>
      </c>
      <c r="L69" s="11"/>
      <c r="M69" s="11">
        <f>SUM(M66:M68)</f>
        <v>0</v>
      </c>
      <c r="N69" s="12"/>
      <c r="O69" s="14"/>
      <c r="P69" s="11">
        <f>SUM(P66:P68)</f>
        <v>0</v>
      </c>
      <c r="Q69" s="11">
        <f>SUM(Q66:Q68)</f>
        <v>0</v>
      </c>
      <c r="R69" s="11"/>
      <c r="S69" s="11">
        <f>SUM(S66:S68)</f>
        <v>0</v>
      </c>
      <c r="T69" s="11"/>
      <c r="U69" s="11"/>
      <c r="V69" s="11"/>
      <c r="W69" s="11"/>
      <c r="X69" s="11"/>
      <c r="Y69" s="11"/>
      <c r="Z69" s="11"/>
      <c r="AA69" s="11"/>
    </row>
    <row r="70" ht="15">
      <c r="A70">
        <v>1</v>
      </c>
      <c r="B70" s="6" t="s">
        <v>154</v>
      </c>
      <c r="C70" s="2">
        <v>6</v>
      </c>
      <c r="D70" s="2"/>
      <c r="E70" s="2" t="s">
        <v>155</v>
      </c>
      <c r="F70" s="2" t="s">
        <v>156</v>
      </c>
      <c r="G70" s="6" t="s">
        <v>30</v>
      </c>
      <c r="H70" s="2" t="s">
        <v>31</v>
      </c>
      <c r="I70" s="2" t="s">
        <v>138</v>
      </c>
      <c r="J70" s="2">
        <v>4.08</v>
      </c>
      <c r="K70" s="2">
        <v>3.876</v>
      </c>
      <c r="L70" s="2">
        <v>8</v>
      </c>
      <c r="M70" s="2">
        <v>4</v>
      </c>
      <c r="N70" s="4" t="s">
        <v>33</v>
      </c>
      <c r="O70" s="9" t="s">
        <v>34</v>
      </c>
      <c r="P70" s="2">
        <v>32</v>
      </c>
      <c r="Q70" s="2">
        <v>0</v>
      </c>
      <c r="R70" s="6" t="s">
        <v>34</v>
      </c>
      <c r="S70" s="2"/>
      <c r="T70" s="2">
        <v>1659.13</v>
      </c>
      <c r="U70" s="2">
        <v>165.91</v>
      </c>
      <c r="V70" s="2"/>
      <c r="W70" s="2"/>
      <c r="X70" s="2"/>
      <c r="Y70" s="2">
        <v>365.01</v>
      </c>
      <c r="Z70" s="2"/>
      <c r="AA70" s="10">
        <v>2190.05</v>
      </c>
    </row>
    <row r="71" ht="15">
      <c r="A71">
        <v>2</v>
      </c>
      <c r="B71" s="6"/>
      <c r="C71" s="2">
        <v>6</v>
      </c>
      <c r="D71" s="2"/>
      <c r="E71" s="2" t="s">
        <v>157</v>
      </c>
      <c r="F71" s="2" t="s">
        <v>158</v>
      </c>
      <c r="G71" s="6" t="s">
        <v>30</v>
      </c>
      <c r="H71" s="2" t="s">
        <v>31</v>
      </c>
      <c r="I71" s="2" t="s">
        <v>32</v>
      </c>
      <c r="J71" s="2">
        <v>8.884</v>
      </c>
      <c r="K71" s="2">
        <v>8.44</v>
      </c>
      <c r="L71" s="2">
        <v>2.2</v>
      </c>
      <c r="M71" s="2">
        <v>20</v>
      </c>
      <c r="N71" s="4" t="s">
        <v>33</v>
      </c>
      <c r="O71" s="9" t="s">
        <v>34</v>
      </c>
      <c r="P71" s="2">
        <v>44</v>
      </c>
      <c r="Q71" s="2">
        <v>0</v>
      </c>
      <c r="R71" s="6" t="s">
        <v>34</v>
      </c>
      <c r="S71" s="2"/>
      <c r="T71" s="2">
        <v>2301.55</v>
      </c>
      <c r="U71" s="2">
        <v>230.16</v>
      </c>
      <c r="V71" s="2"/>
      <c r="W71" s="2"/>
      <c r="X71" s="2"/>
      <c r="Y71" s="2">
        <v>506.34</v>
      </c>
      <c r="Z71" s="2"/>
      <c r="AA71" s="10">
        <v>3038.05</v>
      </c>
    </row>
    <row r="72" ht="15">
      <c r="A72">
        <v>3</v>
      </c>
      <c r="B72" s="6"/>
      <c r="C72" s="2">
        <v>6</v>
      </c>
      <c r="D72" s="2"/>
      <c r="E72" s="2" t="s">
        <v>159</v>
      </c>
      <c r="F72" s="2" t="s">
        <v>160</v>
      </c>
      <c r="G72" s="6" t="s">
        <v>30</v>
      </c>
      <c r="H72" s="2" t="s">
        <v>31</v>
      </c>
      <c r="I72" s="2" t="s">
        <v>138</v>
      </c>
      <c r="J72" s="2">
        <v>2.008</v>
      </c>
      <c r="K72" s="2">
        <v>1.908</v>
      </c>
      <c r="L72" s="2">
        <v>3.6</v>
      </c>
      <c r="M72" s="2">
        <v>4</v>
      </c>
      <c r="N72" s="4" t="s">
        <v>33</v>
      </c>
      <c r="O72" s="9" t="s">
        <v>34</v>
      </c>
      <c r="P72" s="2">
        <v>14.4</v>
      </c>
      <c r="Q72" s="2">
        <v>0</v>
      </c>
      <c r="R72" s="6" t="s">
        <v>34</v>
      </c>
      <c r="S72" s="2"/>
      <c r="T72" s="2">
        <v>747.67</v>
      </c>
      <c r="U72" s="2">
        <v>74.77</v>
      </c>
      <c r="V72" s="2"/>
      <c r="W72" s="2"/>
      <c r="X72" s="2"/>
      <c r="Y72" s="2">
        <v>164.49</v>
      </c>
      <c r="Z72" s="2"/>
      <c r="AA72" s="10">
        <v>986.93</v>
      </c>
    </row>
    <row r="73" ht="15">
      <c r="A73">
        <v>4</v>
      </c>
      <c r="B73" s="6"/>
      <c r="C73" s="2">
        <v>6</v>
      </c>
      <c r="D73" s="2"/>
      <c r="E73" s="2" t="s">
        <v>161</v>
      </c>
      <c r="F73" s="2" t="s">
        <v>162</v>
      </c>
      <c r="G73" s="6" t="s">
        <v>30</v>
      </c>
      <c r="H73" s="2" t="s">
        <v>31</v>
      </c>
      <c r="I73" s="2" t="s">
        <v>32</v>
      </c>
      <c r="J73" s="2">
        <v>5.238</v>
      </c>
      <c r="K73" s="2">
        <v>4.976</v>
      </c>
      <c r="L73" s="2">
        <v>16</v>
      </c>
      <c r="M73" s="2">
        <v>4</v>
      </c>
      <c r="N73" s="4" t="s">
        <v>33</v>
      </c>
      <c r="O73" s="9" t="s">
        <v>34</v>
      </c>
      <c r="P73" s="2">
        <v>64</v>
      </c>
      <c r="Q73" s="2">
        <v>0</v>
      </c>
      <c r="R73" s="6" t="s">
        <v>34</v>
      </c>
      <c r="S73" s="2"/>
      <c r="T73" s="2">
        <v>3300.19</v>
      </c>
      <c r="U73" s="2">
        <v>330.02</v>
      </c>
      <c r="V73" s="2"/>
      <c r="W73" s="2"/>
      <c r="X73" s="2"/>
      <c r="Y73" s="2">
        <v>726.04</v>
      </c>
      <c r="Z73" s="2"/>
      <c r="AA73" s="10">
        <v>4356.25</v>
      </c>
    </row>
    <row r="74" ht="15">
      <c r="A74">
        <v>5</v>
      </c>
      <c r="B74" s="6"/>
      <c r="C74" s="2">
        <v>6</v>
      </c>
      <c r="D74" s="2"/>
      <c r="E74" s="2" t="s">
        <v>163</v>
      </c>
      <c r="F74" s="2" t="s">
        <v>164</v>
      </c>
      <c r="G74" s="6" t="s">
        <v>30</v>
      </c>
      <c r="H74" s="2" t="s">
        <v>31</v>
      </c>
      <c r="I74" s="2" t="s">
        <v>138</v>
      </c>
      <c r="J74" s="2">
        <v>0.36</v>
      </c>
      <c r="K74" s="2">
        <v>0.342</v>
      </c>
      <c r="L74" s="2">
        <v>1.54</v>
      </c>
      <c r="M74" s="2">
        <v>2</v>
      </c>
      <c r="N74" s="4" t="s">
        <v>33</v>
      </c>
      <c r="O74" s="9" t="s">
        <v>34</v>
      </c>
      <c r="P74" s="2">
        <v>3.08</v>
      </c>
      <c r="Q74" s="2">
        <v>0</v>
      </c>
      <c r="R74" s="6" t="s">
        <v>34</v>
      </c>
      <c r="S74" s="2"/>
      <c r="T74" s="2">
        <v>159.49</v>
      </c>
      <c r="U74" s="2">
        <v>15.95</v>
      </c>
      <c r="V74" s="2"/>
      <c r="W74" s="2"/>
      <c r="X74" s="2"/>
      <c r="Y74" s="2">
        <v>35.09</v>
      </c>
      <c r="Z74" s="2"/>
      <c r="AA74" s="10">
        <v>210.53</v>
      </c>
    </row>
    <row r="75" ht="15">
      <c r="A75">
        <v>6</v>
      </c>
      <c r="B75" s="6"/>
      <c r="C75" s="2">
        <v>6</v>
      </c>
      <c r="D75" s="2"/>
      <c r="E75" s="2" t="s">
        <v>165</v>
      </c>
      <c r="F75" s="2" t="s">
        <v>166</v>
      </c>
      <c r="G75" s="6" t="s">
        <v>30</v>
      </c>
      <c r="H75" s="2" t="s">
        <v>31</v>
      </c>
      <c r="I75" s="2" t="s">
        <v>32</v>
      </c>
      <c r="J75" s="2">
        <v>120.474</v>
      </c>
      <c r="K75" s="2">
        <v>114.45</v>
      </c>
      <c r="L75" s="2">
        <v>29</v>
      </c>
      <c r="M75" s="2">
        <v>15</v>
      </c>
      <c r="N75" s="4" t="s">
        <v>33</v>
      </c>
      <c r="O75" s="9" t="s">
        <v>34</v>
      </c>
      <c r="P75" s="2">
        <v>435</v>
      </c>
      <c r="Q75" s="2">
        <v>0</v>
      </c>
      <c r="R75" s="6" t="s">
        <v>34</v>
      </c>
      <c r="S75" s="2"/>
      <c r="T75" s="2">
        <v>22955.78</v>
      </c>
      <c r="U75" s="13">
        <f>SUM(2295.58,-0.01)</f>
        <v>0</v>
      </c>
      <c r="V75" s="2"/>
      <c r="W75" s="2"/>
      <c r="X75" s="2"/>
      <c r="Y75" s="2">
        <v>5050.27</v>
      </c>
      <c r="Z75" s="2"/>
      <c r="AA75" s="10">
        <v>30301.63</v>
      </c>
    </row>
    <row r="76" ht="15">
      <c r="A76">
        <v>7</v>
      </c>
      <c r="B76" s="6"/>
      <c r="C76" s="2">
        <v>6</v>
      </c>
      <c r="D76" s="2"/>
      <c r="E76" s="2" t="s">
        <v>167</v>
      </c>
      <c r="F76" s="2" t="s">
        <v>168</v>
      </c>
      <c r="G76" s="6" t="s">
        <v>30</v>
      </c>
      <c r="H76" s="2" t="s">
        <v>31</v>
      </c>
      <c r="I76" s="2" t="s">
        <v>32</v>
      </c>
      <c r="J76" s="2">
        <v>38.274</v>
      </c>
      <c r="K76" s="2">
        <v>36.36</v>
      </c>
      <c r="L76" s="2">
        <v>21</v>
      </c>
      <c r="M76" s="2">
        <v>8</v>
      </c>
      <c r="N76" s="4" t="s">
        <v>33</v>
      </c>
      <c r="O76" s="9" t="s">
        <v>34</v>
      </c>
      <c r="P76" s="2">
        <v>168</v>
      </c>
      <c r="Q76" s="2">
        <v>0</v>
      </c>
      <c r="R76" s="6" t="s">
        <v>34</v>
      </c>
      <c r="S76" s="2"/>
      <c r="T76" s="2">
        <v>8814.65</v>
      </c>
      <c r="U76" s="2">
        <v>881.47</v>
      </c>
      <c r="V76" s="2"/>
      <c r="W76" s="2"/>
      <c r="X76" s="2"/>
      <c r="Y76" s="2">
        <v>1939.22</v>
      </c>
      <c r="Z76" s="2"/>
      <c r="AA76" s="10">
        <v>11635.34</v>
      </c>
    </row>
    <row r="77" ht="15">
      <c r="A77" s="11"/>
      <c r="B77" s="11"/>
      <c r="C77" s="11"/>
      <c r="D77" s="11"/>
      <c r="E77" s="11"/>
      <c r="F77" s="11" t="s">
        <v>169</v>
      </c>
      <c r="G77" s="11"/>
      <c r="H77" s="11"/>
      <c r="I77" s="11"/>
      <c r="J77" s="11">
        <f>SUM(J70:J76)</f>
        <v>0</v>
      </c>
      <c r="K77" s="11">
        <f>SUM(K70:K76)</f>
        <v>0</v>
      </c>
      <c r="L77" s="11"/>
      <c r="M77" s="11">
        <f>SUM(M70:M76)</f>
        <v>0</v>
      </c>
      <c r="N77" s="12"/>
      <c r="O77" s="14"/>
      <c r="P77" s="11">
        <f>SUM(P70:P76)</f>
        <v>0</v>
      </c>
      <c r="Q77" s="11">
        <f>SUM(Q70:Q76)</f>
        <v>0</v>
      </c>
      <c r="R77" s="11"/>
      <c r="S77" s="11">
        <f>SUM(S70:S76)</f>
        <v>0</v>
      </c>
      <c r="T77" s="11"/>
      <c r="U77" s="11"/>
      <c r="V77" s="11"/>
      <c r="W77" s="11"/>
      <c r="X77" s="11"/>
      <c r="Y77" s="11"/>
      <c r="Z77" s="11"/>
      <c r="AA77" s="11"/>
    </row>
    <row r="78" ht="15">
      <c r="A78">
        <v>1</v>
      </c>
      <c r="B78" s="6" t="s">
        <v>170</v>
      </c>
      <c r="C78" s="2">
        <v>7</v>
      </c>
      <c r="D78" s="2"/>
      <c r="E78" s="2" t="s">
        <v>171</v>
      </c>
      <c r="F78" s="2" t="s">
        <v>172</v>
      </c>
      <c r="G78" s="6" t="s">
        <v>30</v>
      </c>
      <c r="H78" s="2" t="s">
        <v>31</v>
      </c>
      <c r="I78" s="2" t="s">
        <v>138</v>
      </c>
      <c r="J78" s="2">
        <v>2.611</v>
      </c>
      <c r="K78" s="2">
        <v>2.48</v>
      </c>
      <c r="L78" s="2">
        <v>1.68</v>
      </c>
      <c r="M78" s="2">
        <v>8</v>
      </c>
      <c r="N78" s="4" t="s">
        <v>33</v>
      </c>
      <c r="O78" s="9" t="s">
        <v>34</v>
      </c>
      <c r="P78" s="2">
        <v>13.44</v>
      </c>
      <c r="Q78" s="2">
        <v>0</v>
      </c>
      <c r="R78" s="6" t="s">
        <v>34</v>
      </c>
      <c r="S78" s="2"/>
      <c r="T78" s="2">
        <v>702.38</v>
      </c>
      <c r="U78" s="13">
        <f>SUM(70.24,-0.01)</f>
        <v>0</v>
      </c>
      <c r="V78" s="2"/>
      <c r="W78" s="2"/>
      <c r="X78" s="2"/>
      <c r="Y78" s="13">
        <f>SUM(154.52,0.01)</f>
        <v>0</v>
      </c>
      <c r="Z78" s="2"/>
      <c r="AA78" s="10">
        <v>927.14</v>
      </c>
    </row>
    <row r="79" ht="15">
      <c r="A79">
        <v>2</v>
      </c>
      <c r="B79" s="6"/>
      <c r="C79" s="2">
        <v>7</v>
      </c>
      <c r="D79" s="2"/>
      <c r="E79" s="2" t="s">
        <v>173</v>
      </c>
      <c r="F79" s="2" t="s">
        <v>174</v>
      </c>
      <c r="G79" s="6" t="s">
        <v>30</v>
      </c>
      <c r="H79" s="2" t="s">
        <v>31</v>
      </c>
      <c r="I79" s="2" t="s">
        <v>138</v>
      </c>
      <c r="J79" s="2">
        <v>0.442</v>
      </c>
      <c r="K79" s="2">
        <v>0.42</v>
      </c>
      <c r="L79" s="2">
        <v>1.75</v>
      </c>
      <c r="M79" s="2">
        <v>4</v>
      </c>
      <c r="N79" s="4" t="s">
        <v>33</v>
      </c>
      <c r="O79" s="9" t="s">
        <v>34</v>
      </c>
      <c r="P79" s="2">
        <v>7</v>
      </c>
      <c r="Q79" s="2">
        <v>0</v>
      </c>
      <c r="R79" s="6" t="s">
        <v>34</v>
      </c>
      <c r="S79" s="2"/>
      <c r="T79" s="2">
        <v>360.15</v>
      </c>
      <c r="U79" s="2">
        <v>36.02</v>
      </c>
      <c r="V79" s="2"/>
      <c r="W79" s="2"/>
      <c r="X79" s="2"/>
      <c r="Y79" s="2">
        <v>79.23</v>
      </c>
      <c r="Z79" s="2"/>
      <c r="AA79" s="10">
        <v>475.4</v>
      </c>
    </row>
    <row r="80" ht="15">
      <c r="A80" s="11"/>
      <c r="B80" s="11"/>
      <c r="C80" s="11"/>
      <c r="D80" s="11"/>
      <c r="E80" s="11"/>
      <c r="F80" s="11" t="s">
        <v>175</v>
      </c>
      <c r="G80" s="11"/>
      <c r="H80" s="11"/>
      <c r="I80" s="11"/>
      <c r="J80" s="11">
        <f>SUM(J78:J79)</f>
        <v>0</v>
      </c>
      <c r="K80" s="11">
        <f>SUM(K78:K79)</f>
        <v>0</v>
      </c>
      <c r="L80" s="11"/>
      <c r="M80" s="11">
        <f>SUM(M78:M79)</f>
        <v>0</v>
      </c>
      <c r="N80" s="12"/>
      <c r="O80" s="14"/>
      <c r="P80" s="11">
        <f>SUM(P78:P79)</f>
        <v>0</v>
      </c>
      <c r="Q80" s="11">
        <f>SUM(Q78:Q79)</f>
        <v>0</v>
      </c>
      <c r="R80" s="11"/>
      <c r="S80" s="11">
        <f>SUM(S78:S79)</f>
        <v>0</v>
      </c>
      <c r="T80" s="11"/>
      <c r="U80" s="11"/>
      <c r="V80" s="11"/>
      <c r="W80" s="11"/>
      <c r="X80" s="11"/>
      <c r="Y80" s="11"/>
      <c r="Z80" s="11"/>
      <c r="AA80" s="11"/>
    </row>
    <row r="81" ht="15">
      <c r="A81">
        <v>1</v>
      </c>
      <c r="B81" s="6" t="s">
        <v>176</v>
      </c>
      <c r="C81" s="2">
        <v>8</v>
      </c>
      <c r="D81" s="2"/>
      <c r="E81" s="2" t="s">
        <v>177</v>
      </c>
      <c r="F81" s="2" t="s">
        <v>178</v>
      </c>
      <c r="G81" s="6" t="s">
        <v>30</v>
      </c>
      <c r="H81" s="2" t="s">
        <v>31</v>
      </c>
      <c r="I81" s="2" t="s">
        <v>32</v>
      </c>
      <c r="J81" s="2">
        <v>2.105</v>
      </c>
      <c r="K81" s="2">
        <v>2</v>
      </c>
      <c r="L81" s="2">
        <v>1.2</v>
      </c>
      <c r="M81" s="2">
        <v>40</v>
      </c>
      <c r="N81" s="4" t="s">
        <v>33</v>
      </c>
      <c r="O81" s="9" t="s">
        <v>34</v>
      </c>
      <c r="P81" s="2">
        <v>48</v>
      </c>
      <c r="Q81" s="2">
        <v>0</v>
      </c>
      <c r="R81" s="6" t="s">
        <v>34</v>
      </c>
      <c r="S81" s="2"/>
      <c r="T81" s="2">
        <v>2463.87</v>
      </c>
      <c r="U81" s="2">
        <v>123.19</v>
      </c>
      <c r="V81" s="2"/>
      <c r="W81" s="2"/>
      <c r="X81" s="2"/>
      <c r="Y81" s="2">
        <v>517.41</v>
      </c>
      <c r="Z81" s="2"/>
      <c r="AA81" s="10">
        <v>3104.47</v>
      </c>
    </row>
    <row r="82" ht="15">
      <c r="A82" s="11"/>
      <c r="B82" s="11"/>
      <c r="C82" s="11"/>
      <c r="D82" s="11"/>
      <c r="E82" s="11"/>
      <c r="F82" s="11" t="s">
        <v>179</v>
      </c>
      <c r="G82" s="11"/>
      <c r="H82" s="11"/>
      <c r="I82" s="11"/>
      <c r="J82" s="11">
        <f>SUM(J81:J81)</f>
        <v>0</v>
      </c>
      <c r="K82" s="11">
        <f>SUM(K81:K81)</f>
        <v>0</v>
      </c>
      <c r="L82" s="11"/>
      <c r="M82" s="11">
        <f>SUM(M81:M81)</f>
        <v>0</v>
      </c>
      <c r="N82" s="12"/>
      <c r="O82" s="14"/>
      <c r="P82" s="11">
        <f>SUM(P81:P81)</f>
        <v>0</v>
      </c>
      <c r="Q82" s="11">
        <f>SUM(Q81:Q81)</f>
        <v>0</v>
      </c>
      <c r="R82" s="11"/>
      <c r="S82" s="11">
        <f>SUM(S81:S81)</f>
        <v>0</v>
      </c>
      <c r="T82" s="11"/>
      <c r="U82" s="11"/>
      <c r="V82" s="11"/>
      <c r="W82" s="11"/>
      <c r="X82" s="11"/>
      <c r="Y82" s="11"/>
      <c r="Z82" s="11"/>
      <c r="AA82" s="11"/>
    </row>
    <row r="83" ht="15">
      <c r="A83">
        <v>1</v>
      </c>
      <c r="B83" s="6" t="s">
        <v>180</v>
      </c>
      <c r="C83" s="2">
        <v>9</v>
      </c>
      <c r="D83" s="2"/>
      <c r="E83" s="2" t="s">
        <v>181</v>
      </c>
      <c r="F83" s="2" t="s">
        <v>182</v>
      </c>
      <c r="G83" s="6" t="s">
        <v>30</v>
      </c>
      <c r="H83" s="2" t="s">
        <v>31</v>
      </c>
      <c r="I83" s="2" t="s">
        <v>138</v>
      </c>
      <c r="J83" s="2">
        <v>42.105</v>
      </c>
      <c r="K83" s="2">
        <v>40</v>
      </c>
      <c r="L83" s="2">
        <v>0.39</v>
      </c>
      <c r="M83" s="2">
        <v>500</v>
      </c>
      <c r="N83" s="4" t="s">
        <v>33</v>
      </c>
      <c r="O83" s="9" t="s">
        <v>34</v>
      </c>
      <c r="P83" s="2">
        <v>195</v>
      </c>
      <c r="Q83" s="2">
        <v>0</v>
      </c>
      <c r="R83" s="6" t="s">
        <v>34</v>
      </c>
      <c r="S83" s="2"/>
      <c r="T83" s="2">
        <v>10216.94</v>
      </c>
      <c r="U83" s="2">
        <v>510.85</v>
      </c>
      <c r="V83" s="2"/>
      <c r="W83" s="2"/>
      <c r="X83" s="2"/>
      <c r="Y83" s="2">
        <v>2145.56</v>
      </c>
      <c r="Z83" s="2"/>
      <c r="AA83" s="10">
        <v>12873.35</v>
      </c>
    </row>
    <row r="84" ht="15">
      <c r="A84" s="11"/>
      <c r="B84" s="11"/>
      <c r="C84" s="11"/>
      <c r="D84" s="11"/>
      <c r="E84" s="11"/>
      <c r="F84" s="11" t="s">
        <v>183</v>
      </c>
      <c r="G84" s="11"/>
      <c r="H84" s="11"/>
      <c r="I84" s="11"/>
      <c r="J84" s="11">
        <f>SUM(J83:J83)</f>
        <v>0</v>
      </c>
      <c r="K84" s="11">
        <f>SUM(K83:K83)</f>
        <v>0</v>
      </c>
      <c r="L84" s="11"/>
      <c r="M84" s="11">
        <f>SUM(M83:M83)</f>
        <v>0</v>
      </c>
      <c r="N84" s="12"/>
      <c r="O84" s="14"/>
      <c r="P84" s="11">
        <f>SUM(P83:P83)</f>
        <v>0</v>
      </c>
      <c r="Q84" s="11">
        <f>SUM(Q83:Q83)</f>
        <v>0</v>
      </c>
      <c r="R84" s="11"/>
      <c r="S84" s="11">
        <f>SUM(S83:S83)</f>
        <v>0</v>
      </c>
      <c r="T84" s="11"/>
      <c r="U84" s="11"/>
      <c r="V84" s="11"/>
      <c r="W84" s="11"/>
      <c r="X84" s="11"/>
      <c r="Y84" s="11"/>
      <c r="Z84" s="11"/>
      <c r="AA84" s="11"/>
    </row>
    <row r="85" ht="15">
      <c r="A85">
        <v>1</v>
      </c>
      <c r="B85" s="6" t="s">
        <v>184</v>
      </c>
      <c r="C85" s="2">
        <v>10</v>
      </c>
      <c r="D85" s="2"/>
      <c r="E85" s="2" t="s">
        <v>185</v>
      </c>
      <c r="F85" s="2" t="s">
        <v>186</v>
      </c>
      <c r="G85" s="6" t="s">
        <v>30</v>
      </c>
      <c r="H85" s="2" t="s">
        <v>31</v>
      </c>
      <c r="I85" s="2" t="s">
        <v>138</v>
      </c>
      <c r="J85" s="2">
        <v>0.964</v>
      </c>
      <c r="K85" s="2">
        <v>0.916</v>
      </c>
      <c r="L85" s="2">
        <v>1.78</v>
      </c>
      <c r="M85" s="2">
        <v>4</v>
      </c>
      <c r="N85" s="4" t="s">
        <v>33</v>
      </c>
      <c r="O85" s="9" t="s">
        <v>34</v>
      </c>
      <c r="P85" s="2">
        <v>7.12</v>
      </c>
      <c r="Q85" s="2">
        <v>0</v>
      </c>
      <c r="R85" s="6" t="s">
        <v>34</v>
      </c>
      <c r="S85" s="2"/>
      <c r="T85" s="2">
        <v>369.5</v>
      </c>
      <c r="U85" s="2">
        <v>18.48</v>
      </c>
      <c r="V85" s="2"/>
      <c r="W85" s="2"/>
      <c r="X85" s="2"/>
      <c r="Y85" s="2">
        <v>77.6</v>
      </c>
      <c r="Z85" s="2"/>
      <c r="AA85" s="10">
        <v>465.58</v>
      </c>
    </row>
    <row r="86" ht="15">
      <c r="A86">
        <v>2</v>
      </c>
      <c r="B86" s="6"/>
      <c r="C86" s="2">
        <v>10</v>
      </c>
      <c r="D86" s="2"/>
      <c r="E86" s="2" t="s">
        <v>187</v>
      </c>
      <c r="F86" s="2" t="s">
        <v>188</v>
      </c>
      <c r="G86" s="6" t="s">
        <v>30</v>
      </c>
      <c r="H86" s="2" t="s">
        <v>31</v>
      </c>
      <c r="I86" s="2" t="s">
        <v>138</v>
      </c>
      <c r="J86" s="2">
        <v>0.537</v>
      </c>
      <c r="K86" s="2">
        <v>0.51</v>
      </c>
      <c r="L86" s="2">
        <v>2.25</v>
      </c>
      <c r="M86" s="2">
        <v>6</v>
      </c>
      <c r="N86" s="4" t="s">
        <v>33</v>
      </c>
      <c r="O86" s="9" t="s">
        <v>34</v>
      </c>
      <c r="P86" s="2">
        <v>13.5</v>
      </c>
      <c r="Q86" s="2">
        <v>0</v>
      </c>
      <c r="R86" s="6" t="s">
        <v>34</v>
      </c>
      <c r="S86" s="2"/>
      <c r="T86" s="13">
        <f>SUM(692.62,0.01)</f>
        <v>0</v>
      </c>
      <c r="U86" s="2">
        <v>34.63</v>
      </c>
      <c r="V86" s="2"/>
      <c r="W86" s="2"/>
      <c r="X86" s="2"/>
      <c r="Y86" s="2">
        <v>145.45</v>
      </c>
      <c r="Z86" s="2"/>
      <c r="AA86" s="10">
        <v>872.7</v>
      </c>
    </row>
    <row r="87" ht="15">
      <c r="A87" s="11"/>
      <c r="B87" s="11"/>
      <c r="C87" s="11"/>
      <c r="D87" s="11"/>
      <c r="E87" s="11"/>
      <c r="F87" s="11" t="s">
        <v>189</v>
      </c>
      <c r="G87" s="11"/>
      <c r="H87" s="11"/>
      <c r="I87" s="11"/>
      <c r="J87" s="11">
        <f>SUM(J85:J86)</f>
        <v>0</v>
      </c>
      <c r="K87" s="11">
        <f>SUM(K85:K86)</f>
        <v>0</v>
      </c>
      <c r="L87" s="11"/>
      <c r="M87" s="11">
        <f>SUM(M85:M86)</f>
        <v>0</v>
      </c>
      <c r="N87" s="12"/>
      <c r="O87" s="14"/>
      <c r="P87" s="11">
        <f>SUM(P85:P86)</f>
        <v>0</v>
      </c>
      <c r="Q87" s="11">
        <f>SUM(Q85:Q86)</f>
        <v>0</v>
      </c>
      <c r="R87" s="11"/>
      <c r="S87" s="11">
        <f>SUM(S85:S86)</f>
        <v>0</v>
      </c>
      <c r="T87" s="11"/>
      <c r="U87" s="11"/>
      <c r="V87" s="11"/>
      <c r="W87" s="11"/>
      <c r="X87" s="11"/>
      <c r="Y87" s="11"/>
      <c r="Z87" s="11"/>
      <c r="AA87" s="11"/>
    </row>
    <row r="88" ht="15">
      <c r="A88">
        <v>1</v>
      </c>
      <c r="B88" s="6" t="s">
        <v>190</v>
      </c>
      <c r="C88" s="2">
        <v>11</v>
      </c>
      <c r="D88" s="2"/>
      <c r="E88" s="2" t="s">
        <v>191</v>
      </c>
      <c r="F88" s="2" t="s">
        <v>192</v>
      </c>
      <c r="G88" s="6" t="s">
        <v>30</v>
      </c>
      <c r="H88" s="2" t="s">
        <v>31</v>
      </c>
      <c r="I88" s="2" t="s">
        <v>138</v>
      </c>
      <c r="J88" s="2">
        <v>3</v>
      </c>
      <c r="K88" s="2">
        <v>2.85</v>
      </c>
      <c r="L88" s="2">
        <v>1.36</v>
      </c>
      <c r="M88" s="2">
        <v>10</v>
      </c>
      <c r="N88" s="4" t="s">
        <v>33</v>
      </c>
      <c r="O88" s="9" t="s">
        <v>34</v>
      </c>
      <c r="P88" s="2">
        <v>13.6</v>
      </c>
      <c r="Q88" s="2">
        <v>0</v>
      </c>
      <c r="R88" s="6" t="s">
        <v>34</v>
      </c>
      <c r="S88" s="2"/>
      <c r="T88" s="2">
        <v>712.96</v>
      </c>
      <c r="U88" s="2">
        <v>35.65</v>
      </c>
      <c r="V88" s="2"/>
      <c r="W88" s="2"/>
      <c r="X88" s="2"/>
      <c r="Y88" s="2">
        <v>149.72</v>
      </c>
      <c r="Z88" s="2"/>
      <c r="AA88" s="10">
        <v>898.33</v>
      </c>
    </row>
    <row r="89" ht="15">
      <c r="A89">
        <v>2</v>
      </c>
      <c r="B89" s="6"/>
      <c r="C89" s="2">
        <v>11</v>
      </c>
      <c r="D89" s="2"/>
      <c r="E89" s="2" t="s">
        <v>193</v>
      </c>
      <c r="F89" s="2" t="s">
        <v>194</v>
      </c>
      <c r="G89" s="6" t="s">
        <v>30</v>
      </c>
      <c r="H89" s="2" t="s">
        <v>31</v>
      </c>
      <c r="I89" s="2" t="s">
        <v>32</v>
      </c>
      <c r="J89" s="2">
        <v>0.568</v>
      </c>
      <c r="K89" s="2">
        <v>0.54</v>
      </c>
      <c r="L89" s="2">
        <v>0.2</v>
      </c>
      <c r="M89" s="2">
        <v>20</v>
      </c>
      <c r="N89" s="4" t="s">
        <v>33</v>
      </c>
      <c r="O89" s="9" t="s">
        <v>34</v>
      </c>
      <c r="P89" s="2">
        <v>4</v>
      </c>
      <c r="Q89" s="2">
        <v>0</v>
      </c>
      <c r="R89" s="6" t="s">
        <v>34</v>
      </c>
      <c r="S89" s="2"/>
      <c r="T89" s="2">
        <v>207.75</v>
      </c>
      <c r="U89" s="2">
        <v>10.39</v>
      </c>
      <c r="V89" s="2"/>
      <c r="W89" s="2"/>
      <c r="X89" s="2"/>
      <c r="Y89" s="2">
        <v>43.63</v>
      </c>
      <c r="Z89" s="2"/>
      <c r="AA89" s="10">
        <v>261.77</v>
      </c>
    </row>
    <row r="90" ht="15">
      <c r="A90">
        <v>3</v>
      </c>
      <c r="B90" s="6"/>
      <c r="C90" s="2">
        <v>11</v>
      </c>
      <c r="D90" s="2"/>
      <c r="E90" s="2" t="s">
        <v>195</v>
      </c>
      <c r="F90" s="2" t="s">
        <v>196</v>
      </c>
      <c r="G90" s="6" t="s">
        <v>30</v>
      </c>
      <c r="H90" s="2" t="s">
        <v>31</v>
      </c>
      <c r="I90" s="2" t="s">
        <v>138</v>
      </c>
      <c r="J90" s="2">
        <v>0.253</v>
      </c>
      <c r="K90" s="2">
        <v>0.24</v>
      </c>
      <c r="L90" s="2">
        <v>0.25</v>
      </c>
      <c r="M90" s="2">
        <v>20</v>
      </c>
      <c r="N90" s="4" t="s">
        <v>33</v>
      </c>
      <c r="O90" s="9" t="s">
        <v>34</v>
      </c>
      <c r="P90" s="2">
        <v>5</v>
      </c>
      <c r="Q90" s="2">
        <v>0</v>
      </c>
      <c r="R90" s="6" t="s">
        <v>34</v>
      </c>
      <c r="S90" s="2"/>
      <c r="T90" s="2">
        <v>256.86</v>
      </c>
      <c r="U90" s="2">
        <v>12.84</v>
      </c>
      <c r="V90" s="2"/>
      <c r="W90" s="2"/>
      <c r="X90" s="2"/>
      <c r="Y90" s="2">
        <v>53.94</v>
      </c>
      <c r="Z90" s="2"/>
      <c r="AA90" s="10">
        <v>323.64</v>
      </c>
    </row>
    <row r="91" ht="15">
      <c r="A91" s="11"/>
      <c r="B91" s="11"/>
      <c r="C91" s="11"/>
      <c r="D91" s="11"/>
      <c r="E91" s="11"/>
      <c r="F91" s="11" t="s">
        <v>197</v>
      </c>
      <c r="G91" s="11"/>
      <c r="H91" s="11"/>
      <c r="I91" s="11"/>
      <c r="J91" s="11">
        <f>SUM(J88:J90)</f>
        <v>0</v>
      </c>
      <c r="K91" s="11">
        <f>SUM(K88:K90)</f>
        <v>0</v>
      </c>
      <c r="L91" s="11"/>
      <c r="M91" s="11">
        <f>SUM(M88:M90)</f>
        <v>0</v>
      </c>
      <c r="N91" s="12"/>
      <c r="O91" s="14"/>
      <c r="P91" s="11">
        <f>SUM(P88:P90)</f>
        <v>0</v>
      </c>
      <c r="Q91" s="11">
        <f>SUM(Q88:Q90)</f>
        <v>0</v>
      </c>
      <c r="R91" s="11"/>
      <c r="S91" s="11">
        <f>SUM(S88:S90)</f>
        <v>0</v>
      </c>
      <c r="T91" s="11"/>
      <c r="U91" s="11"/>
      <c r="V91" s="11"/>
      <c r="W91" s="11"/>
      <c r="X91" s="11"/>
      <c r="Y91" s="11"/>
      <c r="Z91" s="11"/>
      <c r="AA91" s="11"/>
    </row>
    <row r="92" ht="15">
      <c r="A92">
        <v>1</v>
      </c>
      <c r="B92" s="6" t="s">
        <v>198</v>
      </c>
      <c r="C92" s="2">
        <v>12</v>
      </c>
      <c r="D92" s="2"/>
      <c r="E92" s="2" t="s">
        <v>199</v>
      </c>
      <c r="F92" s="2" t="s">
        <v>200</v>
      </c>
      <c r="G92" s="6" t="s">
        <v>30</v>
      </c>
      <c r="H92" s="2" t="s">
        <v>31</v>
      </c>
      <c r="I92" s="2" t="s">
        <v>138</v>
      </c>
      <c r="J92" s="2">
        <v>2.741</v>
      </c>
      <c r="K92" s="2">
        <v>2.604</v>
      </c>
      <c r="L92" s="2">
        <v>6.25</v>
      </c>
      <c r="M92" s="2">
        <v>2</v>
      </c>
      <c r="N92" s="4" t="s">
        <v>33</v>
      </c>
      <c r="O92" s="9" t="s">
        <v>34</v>
      </c>
      <c r="P92" s="2">
        <v>12.5</v>
      </c>
      <c r="Q92" s="2">
        <v>0</v>
      </c>
      <c r="R92" s="6" t="s">
        <v>34</v>
      </c>
      <c r="S92" s="2"/>
      <c r="T92" s="2">
        <v>655.19</v>
      </c>
      <c r="U92" s="2">
        <v>65.52</v>
      </c>
      <c r="V92" s="2"/>
      <c r="W92" s="2"/>
      <c r="X92" s="2"/>
      <c r="Y92" s="2">
        <v>144.14</v>
      </c>
      <c r="Z92" s="2"/>
      <c r="AA92" s="10">
        <v>864.85</v>
      </c>
    </row>
    <row r="93" ht="15">
      <c r="A93">
        <v>2</v>
      </c>
      <c r="B93" s="6"/>
      <c r="C93" s="2">
        <v>12</v>
      </c>
      <c r="D93" s="2"/>
      <c r="E93" s="2" t="s">
        <v>201</v>
      </c>
      <c r="F93" s="2" t="s">
        <v>202</v>
      </c>
      <c r="G93" s="6" t="s">
        <v>30</v>
      </c>
      <c r="H93" s="2" t="s">
        <v>31</v>
      </c>
      <c r="I93" s="2" t="s">
        <v>138</v>
      </c>
      <c r="J93" s="2">
        <v>4.194</v>
      </c>
      <c r="K93" s="2">
        <v>3.984</v>
      </c>
      <c r="L93" s="2">
        <v>1.26</v>
      </c>
      <c r="M93" s="2">
        <v>12</v>
      </c>
      <c r="N93" s="4" t="s">
        <v>33</v>
      </c>
      <c r="O93" s="9" t="s">
        <v>34</v>
      </c>
      <c r="P93" s="2">
        <v>15.12</v>
      </c>
      <c r="Q93" s="2">
        <v>0</v>
      </c>
      <c r="R93" s="6" t="s">
        <v>34</v>
      </c>
      <c r="S93" s="2"/>
      <c r="T93" s="2">
        <v>797.95</v>
      </c>
      <c r="U93" s="2">
        <v>79.8</v>
      </c>
      <c r="V93" s="2"/>
      <c r="W93" s="2"/>
      <c r="X93" s="2"/>
      <c r="Y93" s="2">
        <v>175.55</v>
      </c>
      <c r="Z93" s="2"/>
      <c r="AA93" s="10">
        <v>1053.3</v>
      </c>
    </row>
    <row r="94" ht="15">
      <c r="A94">
        <v>3</v>
      </c>
      <c r="B94" s="6"/>
      <c r="C94" s="2">
        <v>12</v>
      </c>
      <c r="D94" s="2"/>
      <c r="E94" s="2" t="s">
        <v>203</v>
      </c>
      <c r="F94" s="2" t="s">
        <v>204</v>
      </c>
      <c r="G94" s="6" t="s">
        <v>30</v>
      </c>
      <c r="H94" s="2" t="s">
        <v>31</v>
      </c>
      <c r="I94" s="2" t="s">
        <v>138</v>
      </c>
      <c r="J94" s="2">
        <v>11.116</v>
      </c>
      <c r="K94" s="2">
        <v>10.56</v>
      </c>
      <c r="L94" s="2">
        <v>6.48</v>
      </c>
      <c r="M94" s="2">
        <v>8</v>
      </c>
      <c r="N94" s="4" t="s">
        <v>33</v>
      </c>
      <c r="O94" s="9" t="s">
        <v>34</v>
      </c>
      <c r="P94" s="2">
        <v>51.84</v>
      </c>
      <c r="Q94" s="2">
        <v>0</v>
      </c>
      <c r="R94" s="6" t="s">
        <v>34</v>
      </c>
      <c r="S94" s="2"/>
      <c r="T94" s="2">
        <v>2715.66</v>
      </c>
      <c r="U94" s="2">
        <v>271.57</v>
      </c>
      <c r="V94" s="2"/>
      <c r="W94" s="2"/>
      <c r="X94" s="2"/>
      <c r="Y94" s="2">
        <v>597.45</v>
      </c>
      <c r="Z94" s="2"/>
      <c r="AA94" s="10">
        <v>3584.68</v>
      </c>
    </row>
    <row r="95" ht="15">
      <c r="A95">
        <v>4</v>
      </c>
      <c r="B95" s="6"/>
      <c r="C95" s="2">
        <v>12</v>
      </c>
      <c r="D95" s="2"/>
      <c r="E95" s="2" t="s">
        <v>205</v>
      </c>
      <c r="F95" s="2" t="s">
        <v>206</v>
      </c>
      <c r="G95" s="6" t="s">
        <v>30</v>
      </c>
      <c r="H95" s="2" t="s">
        <v>31</v>
      </c>
      <c r="I95" s="2" t="s">
        <v>32</v>
      </c>
      <c r="J95" s="2">
        <v>22.097</v>
      </c>
      <c r="K95" s="2">
        <v>20.992</v>
      </c>
      <c r="L95" s="2">
        <v>6.48</v>
      </c>
      <c r="M95" s="2">
        <v>16</v>
      </c>
      <c r="N95" s="4" t="s">
        <v>33</v>
      </c>
      <c r="O95" s="9" t="s">
        <v>34</v>
      </c>
      <c r="P95" s="2">
        <v>103.68</v>
      </c>
      <c r="Q95" s="2">
        <v>0</v>
      </c>
      <c r="R95" s="6" t="s">
        <v>34</v>
      </c>
      <c r="S95" s="2"/>
      <c r="T95" s="2">
        <v>5430.48</v>
      </c>
      <c r="U95" s="2">
        <v>543.05</v>
      </c>
      <c r="V95" s="2"/>
      <c r="W95" s="2"/>
      <c r="X95" s="2"/>
      <c r="Y95" s="2">
        <v>1194.71</v>
      </c>
      <c r="Z95" s="2"/>
      <c r="AA95" s="10">
        <v>7168.24</v>
      </c>
    </row>
    <row r="96" ht="15">
      <c r="A96">
        <v>5</v>
      </c>
      <c r="B96" s="6"/>
      <c r="C96" s="2">
        <v>12</v>
      </c>
      <c r="D96" s="2"/>
      <c r="E96" s="2" t="s">
        <v>207</v>
      </c>
      <c r="F96" s="2" t="s">
        <v>208</v>
      </c>
      <c r="G96" s="6" t="s">
        <v>30</v>
      </c>
      <c r="H96" s="2" t="s">
        <v>31</v>
      </c>
      <c r="I96" s="2" t="s">
        <v>138</v>
      </c>
      <c r="J96" s="2">
        <v>57.158</v>
      </c>
      <c r="K96" s="2">
        <v>54.3</v>
      </c>
      <c r="L96" s="2">
        <v>5.8</v>
      </c>
      <c r="M96" s="2">
        <v>30</v>
      </c>
      <c r="N96" s="4" t="s">
        <v>33</v>
      </c>
      <c r="O96" s="9" t="s">
        <v>34</v>
      </c>
      <c r="P96" s="2">
        <v>174</v>
      </c>
      <c r="Q96" s="2">
        <v>0</v>
      </c>
      <c r="R96" s="6" t="s">
        <v>34</v>
      </c>
      <c r="S96" s="2"/>
      <c r="T96" s="2">
        <v>9237.76</v>
      </c>
      <c r="U96" s="13">
        <f>SUM(923.78,-0.02)</f>
        <v>0</v>
      </c>
      <c r="V96" s="2"/>
      <c r="W96" s="2"/>
      <c r="X96" s="2"/>
      <c r="Y96" s="13">
        <f>SUM(2032.31,-0.01)</f>
        <v>0</v>
      </c>
      <c r="Z96" s="2"/>
      <c r="AA96" s="10">
        <v>12193.85</v>
      </c>
    </row>
    <row r="97" ht="15">
      <c r="A97" s="11"/>
      <c r="B97" s="11"/>
      <c r="C97" s="11"/>
      <c r="D97" s="11"/>
      <c r="E97" s="11"/>
      <c r="F97" s="11" t="s">
        <v>209</v>
      </c>
      <c r="G97" s="11"/>
      <c r="H97" s="11"/>
      <c r="I97" s="11"/>
      <c r="J97" s="11">
        <f>SUM(J92:J96)</f>
        <v>0</v>
      </c>
      <c r="K97" s="11">
        <f>SUM(K92:K96)</f>
        <v>0</v>
      </c>
      <c r="L97" s="11"/>
      <c r="M97" s="11">
        <f>SUM(M92:M96)</f>
        <v>0</v>
      </c>
      <c r="N97" s="12"/>
      <c r="O97" s="14"/>
      <c r="P97" s="11">
        <f>SUM(P92:P96)</f>
        <v>0</v>
      </c>
      <c r="Q97" s="11">
        <f>SUM(Q92:Q96)</f>
        <v>0</v>
      </c>
      <c r="R97" s="11"/>
      <c r="S97" s="11">
        <f>SUM(S92:S96)</f>
        <v>0</v>
      </c>
      <c r="T97" s="11"/>
      <c r="U97" s="11"/>
      <c r="V97" s="11"/>
      <c r="W97" s="11"/>
      <c r="X97" s="11"/>
      <c r="Y97" s="11"/>
      <c r="Z97" s="11"/>
      <c r="AA97" s="11"/>
    </row>
    <row r="98" ht="15">
      <c r="A98">
        <v>1</v>
      </c>
      <c r="B98" s="6" t="s">
        <v>210</v>
      </c>
      <c r="C98" s="2">
        <v>13</v>
      </c>
      <c r="D98" s="2"/>
      <c r="E98" s="2" t="s">
        <v>211</v>
      </c>
      <c r="F98" s="2" t="s">
        <v>212</v>
      </c>
      <c r="G98" s="6" t="s">
        <v>30</v>
      </c>
      <c r="H98" s="2" t="s">
        <v>31</v>
      </c>
      <c r="I98" s="2" t="s">
        <v>138</v>
      </c>
      <c r="J98" s="2">
        <v>2.358</v>
      </c>
      <c r="K98" s="2">
        <v>2.24</v>
      </c>
      <c r="L98" s="2">
        <v>2.19</v>
      </c>
      <c r="M98" s="2">
        <v>10</v>
      </c>
      <c r="N98" s="4" t="s">
        <v>33</v>
      </c>
      <c r="O98" s="9" t="s">
        <v>34</v>
      </c>
      <c r="P98" s="2">
        <v>21.9</v>
      </c>
      <c r="Q98" s="2">
        <v>0</v>
      </c>
      <c r="R98" s="6" t="s">
        <v>34</v>
      </c>
      <c r="S98" s="2"/>
      <c r="T98" s="2">
        <v>1132.78</v>
      </c>
      <c r="U98" s="2">
        <v>56.64</v>
      </c>
      <c r="V98" s="2"/>
      <c r="W98" s="2"/>
      <c r="X98" s="2"/>
      <c r="Y98" s="2">
        <v>237.88</v>
      </c>
      <c r="Z98" s="2"/>
      <c r="AA98" s="10">
        <v>1427.3</v>
      </c>
    </row>
    <row r="99" ht="15">
      <c r="A99">
        <v>2</v>
      </c>
      <c r="B99" s="6"/>
      <c r="C99" s="2">
        <v>13</v>
      </c>
      <c r="D99" s="2"/>
      <c r="E99" s="2" t="s">
        <v>213</v>
      </c>
      <c r="F99" s="2" t="s">
        <v>214</v>
      </c>
      <c r="G99" s="6" t="s">
        <v>30</v>
      </c>
      <c r="H99" s="2" t="s">
        <v>31</v>
      </c>
      <c r="I99" s="2" t="s">
        <v>32</v>
      </c>
      <c r="J99" s="2">
        <v>4.695</v>
      </c>
      <c r="K99" s="2">
        <v>4.46</v>
      </c>
      <c r="L99" s="2">
        <v>2.19</v>
      </c>
      <c r="M99" s="2">
        <v>20</v>
      </c>
      <c r="N99" s="4" t="s">
        <v>33</v>
      </c>
      <c r="O99" s="9" t="s">
        <v>34</v>
      </c>
      <c r="P99" s="2">
        <v>43.8</v>
      </c>
      <c r="Q99" s="2">
        <v>0</v>
      </c>
      <c r="R99" s="6" t="s">
        <v>34</v>
      </c>
      <c r="S99" s="2"/>
      <c r="T99" s="2">
        <v>2265.44</v>
      </c>
      <c r="U99" s="2">
        <v>113.27</v>
      </c>
      <c r="V99" s="2"/>
      <c r="W99" s="2"/>
      <c r="X99" s="2"/>
      <c r="Y99" s="13">
        <f>SUM(475.74,0.01)</f>
        <v>0</v>
      </c>
      <c r="Z99" s="2"/>
      <c r="AA99" s="10">
        <v>2854.45</v>
      </c>
    </row>
    <row r="100" ht="15">
      <c r="A100" s="11"/>
      <c r="B100" s="11"/>
      <c r="C100" s="11"/>
      <c r="D100" s="11"/>
      <c r="E100" s="11"/>
      <c r="F100" s="11" t="s">
        <v>215</v>
      </c>
      <c r="G100" s="11"/>
      <c r="H100" s="11"/>
      <c r="I100" s="11"/>
      <c r="J100" s="11">
        <f>SUM(J98:J99)</f>
        <v>0</v>
      </c>
      <c r="K100" s="11">
        <f>SUM(K98:K99)</f>
        <v>0</v>
      </c>
      <c r="L100" s="11"/>
      <c r="M100" s="11">
        <f>SUM(M98:M99)</f>
        <v>0</v>
      </c>
      <c r="N100" s="12"/>
      <c r="O100" s="14"/>
      <c r="P100" s="11">
        <f>SUM(P98:P99)</f>
        <v>0</v>
      </c>
      <c r="Q100" s="11">
        <f>SUM(Q98:Q99)</f>
        <v>0</v>
      </c>
      <c r="R100" s="11"/>
      <c r="S100" s="11">
        <f>SUM(S98:S99)</f>
        <v>0</v>
      </c>
      <c r="T100" s="11"/>
      <c r="U100" s="11"/>
      <c r="V100" s="11"/>
      <c r="W100" s="11"/>
      <c r="X100" s="11"/>
      <c r="Y100" s="11"/>
      <c r="Z100" s="11"/>
      <c r="AA100" s="11"/>
    </row>
    <row r="101" ht="15">
      <c r="A101">
        <v>1</v>
      </c>
      <c r="B101" s="6" t="s">
        <v>216</v>
      </c>
      <c r="C101" s="2">
        <v>14</v>
      </c>
      <c r="D101" s="2"/>
      <c r="E101" s="2" t="s">
        <v>217</v>
      </c>
      <c r="F101" s="2" t="s">
        <v>218</v>
      </c>
      <c r="G101" s="6" t="s">
        <v>30</v>
      </c>
      <c r="H101" s="2" t="s">
        <v>31</v>
      </c>
      <c r="I101" s="2" t="s">
        <v>32</v>
      </c>
      <c r="J101" s="2">
        <v>17.773</v>
      </c>
      <c r="K101" s="2">
        <v>16.884</v>
      </c>
      <c r="L101" s="2">
        <v>28</v>
      </c>
      <c r="M101" s="2">
        <v>6</v>
      </c>
      <c r="N101" s="4" t="s">
        <v>33</v>
      </c>
      <c r="O101" s="9" t="s">
        <v>34</v>
      </c>
      <c r="P101" s="2">
        <v>168</v>
      </c>
      <c r="Q101" s="2">
        <v>0</v>
      </c>
      <c r="R101" s="6" t="s">
        <v>34</v>
      </c>
      <c r="S101" s="2"/>
      <c r="T101" s="2">
        <v>8687.89</v>
      </c>
      <c r="U101" s="2">
        <v>434.39</v>
      </c>
      <c r="V101" s="2"/>
      <c r="W101" s="2"/>
      <c r="X101" s="2"/>
      <c r="Y101" s="2">
        <v>1824.46</v>
      </c>
      <c r="Z101" s="2"/>
      <c r="AA101" s="10">
        <v>10946.74</v>
      </c>
    </row>
    <row r="102" ht="15">
      <c r="A102" s="11"/>
      <c r="B102" s="11"/>
      <c r="C102" s="11"/>
      <c r="D102" s="11"/>
      <c r="E102" s="11"/>
      <c r="F102" s="11" t="s">
        <v>219</v>
      </c>
      <c r="G102" s="11"/>
      <c r="H102" s="11"/>
      <c r="I102" s="11"/>
      <c r="J102" s="11">
        <f>SUM(J101:J101)</f>
        <v>0</v>
      </c>
      <c r="K102" s="11">
        <f>SUM(K101:K101)</f>
        <v>0</v>
      </c>
      <c r="L102" s="11"/>
      <c r="M102" s="11">
        <f>SUM(M101:M101)</f>
        <v>0</v>
      </c>
      <c r="N102" s="12"/>
      <c r="O102" s="14"/>
      <c r="P102" s="11">
        <f>SUM(P101:P101)</f>
        <v>0</v>
      </c>
      <c r="Q102" s="11">
        <f>SUM(Q101:Q101)</f>
        <v>0</v>
      </c>
      <c r="R102" s="11"/>
      <c r="S102" s="11">
        <f>SUM(S101:S101)</f>
        <v>0</v>
      </c>
      <c r="T102" s="11"/>
      <c r="U102" s="11"/>
      <c r="V102" s="11"/>
      <c r="W102" s="11"/>
      <c r="X102" s="11"/>
      <c r="Y102" s="11"/>
      <c r="Z102" s="11"/>
      <c r="AA102" s="11"/>
    </row>
    <row r="103" ht="15">
      <c r="A103">
        <v>1</v>
      </c>
      <c r="B103" s="6" t="s">
        <v>220</v>
      </c>
      <c r="C103" s="2">
        <v>15</v>
      </c>
      <c r="D103" s="2"/>
      <c r="E103" s="2" t="s">
        <v>221</v>
      </c>
      <c r="F103" s="2" t="s">
        <v>222</v>
      </c>
      <c r="G103" s="6" t="s">
        <v>30</v>
      </c>
      <c r="H103" s="2" t="s">
        <v>31</v>
      </c>
      <c r="I103" s="2" t="s">
        <v>32</v>
      </c>
      <c r="J103" s="2">
        <v>7.579</v>
      </c>
      <c r="K103" s="2">
        <v>7.2</v>
      </c>
      <c r="L103" s="2">
        <v>6.49</v>
      </c>
      <c r="M103" s="2">
        <v>6</v>
      </c>
      <c r="N103" s="4" t="s">
        <v>33</v>
      </c>
      <c r="O103" s="9" t="s">
        <v>34</v>
      </c>
      <c r="P103" s="2">
        <v>38.94</v>
      </c>
      <c r="Q103" s="2">
        <v>0</v>
      </c>
      <c r="R103" s="6" t="s">
        <v>34</v>
      </c>
      <c r="S103" s="2"/>
      <c r="T103" s="2">
        <v>2035.12</v>
      </c>
      <c r="U103" s="2">
        <v>101.76</v>
      </c>
      <c r="V103" s="2"/>
      <c r="W103" s="2"/>
      <c r="X103" s="2"/>
      <c r="Y103" s="2">
        <v>427.38</v>
      </c>
      <c r="Z103" s="2"/>
      <c r="AA103" s="10">
        <v>2564.26</v>
      </c>
    </row>
    <row r="104" ht="15">
      <c r="A104">
        <v>2</v>
      </c>
      <c r="B104" s="6"/>
      <c r="C104" s="2">
        <v>15</v>
      </c>
      <c r="D104" s="2"/>
      <c r="E104" s="2" t="s">
        <v>223</v>
      </c>
      <c r="F104" s="2" t="s">
        <v>224</v>
      </c>
      <c r="G104" s="6" t="s">
        <v>30</v>
      </c>
      <c r="H104" s="2" t="s">
        <v>31</v>
      </c>
      <c r="I104" s="2" t="s">
        <v>138</v>
      </c>
      <c r="J104" s="2">
        <v>3.613</v>
      </c>
      <c r="K104" s="2">
        <v>3.432</v>
      </c>
      <c r="L104" s="2">
        <v>5.5</v>
      </c>
      <c r="M104" s="2">
        <v>4</v>
      </c>
      <c r="N104" s="4" t="s">
        <v>33</v>
      </c>
      <c r="O104" s="9" t="s">
        <v>34</v>
      </c>
      <c r="P104" s="2">
        <v>22</v>
      </c>
      <c r="Q104" s="2">
        <v>0</v>
      </c>
      <c r="R104" s="6" t="s">
        <v>34</v>
      </c>
      <c r="S104" s="2"/>
      <c r="T104" s="2">
        <v>1145.65</v>
      </c>
      <c r="U104" s="2">
        <v>57.28</v>
      </c>
      <c r="V104" s="2"/>
      <c r="W104" s="2"/>
      <c r="X104" s="2"/>
      <c r="Y104" s="2">
        <v>240.59</v>
      </c>
      <c r="Z104" s="2"/>
      <c r="AA104" s="10">
        <v>1443.52</v>
      </c>
    </row>
    <row r="105" ht="15">
      <c r="A105">
        <v>3</v>
      </c>
      <c r="B105" s="6"/>
      <c r="C105" s="2">
        <v>15</v>
      </c>
      <c r="D105" s="2"/>
      <c r="E105" s="2" t="s">
        <v>225</v>
      </c>
      <c r="F105" s="2" t="s">
        <v>224</v>
      </c>
      <c r="G105" s="6" t="s">
        <v>30</v>
      </c>
      <c r="H105" s="2" t="s">
        <v>31</v>
      </c>
      <c r="I105" s="2" t="s">
        <v>138</v>
      </c>
      <c r="J105" s="2">
        <v>3.667</v>
      </c>
      <c r="K105" s="2">
        <v>3.484</v>
      </c>
      <c r="L105" s="2">
        <v>5.5</v>
      </c>
      <c r="M105" s="2">
        <v>4</v>
      </c>
      <c r="N105" s="4" t="s">
        <v>33</v>
      </c>
      <c r="O105" s="9" t="s">
        <v>34</v>
      </c>
      <c r="P105" s="2">
        <v>22</v>
      </c>
      <c r="Q105" s="2">
        <v>0</v>
      </c>
      <c r="R105" s="6" t="s">
        <v>34</v>
      </c>
      <c r="S105" s="2"/>
      <c r="T105" s="2">
        <v>1145.98</v>
      </c>
      <c r="U105" s="2">
        <v>57.3</v>
      </c>
      <c r="V105" s="2"/>
      <c r="W105" s="2"/>
      <c r="X105" s="2"/>
      <c r="Y105" s="2">
        <v>240.66</v>
      </c>
      <c r="Z105" s="2"/>
      <c r="AA105" s="10">
        <v>1443.94</v>
      </c>
    </row>
    <row r="106" ht="15">
      <c r="A106">
        <v>4</v>
      </c>
      <c r="B106" s="6"/>
      <c r="C106" s="2">
        <v>15</v>
      </c>
      <c r="D106" s="2"/>
      <c r="E106" s="2" t="s">
        <v>226</v>
      </c>
      <c r="F106" s="2" t="s">
        <v>222</v>
      </c>
      <c r="G106" s="6" t="s">
        <v>30</v>
      </c>
      <c r="H106" s="2" t="s">
        <v>31</v>
      </c>
      <c r="I106" s="2" t="s">
        <v>32</v>
      </c>
      <c r="J106" s="2">
        <v>10.598</v>
      </c>
      <c r="K106" s="2">
        <v>10.068</v>
      </c>
      <c r="L106" s="2">
        <v>7.75</v>
      </c>
      <c r="M106" s="2">
        <v>6</v>
      </c>
      <c r="N106" s="4" t="s">
        <v>33</v>
      </c>
      <c r="O106" s="9" t="s">
        <v>34</v>
      </c>
      <c r="P106" s="2">
        <v>46.5</v>
      </c>
      <c r="Q106" s="2">
        <v>0</v>
      </c>
      <c r="R106" s="6" t="s">
        <v>34</v>
      </c>
      <c r="S106" s="2"/>
      <c r="T106" s="2">
        <v>2439.79</v>
      </c>
      <c r="U106" s="2">
        <v>121.99</v>
      </c>
      <c r="V106" s="2"/>
      <c r="W106" s="2"/>
      <c r="X106" s="2"/>
      <c r="Y106" s="13">
        <f>SUM(512.36,-0.02)</f>
        <v>0</v>
      </c>
      <c r="Z106" s="2"/>
      <c r="AA106" s="10">
        <v>3074.14</v>
      </c>
    </row>
    <row r="107" ht="15">
      <c r="A107" s="11"/>
      <c r="B107" s="11"/>
      <c r="C107" s="11"/>
      <c r="D107" s="11"/>
      <c r="E107" s="11"/>
      <c r="F107" s="11" t="s">
        <v>227</v>
      </c>
      <c r="G107" s="11"/>
      <c r="H107" s="11"/>
      <c r="I107" s="11"/>
      <c r="J107" s="11">
        <f>SUM(J103:J106)</f>
        <v>0</v>
      </c>
      <c r="K107" s="11">
        <f>SUM(K103:K106)</f>
        <v>0</v>
      </c>
      <c r="L107" s="11"/>
      <c r="M107" s="11">
        <f>SUM(M103:M106)</f>
        <v>0</v>
      </c>
      <c r="N107" s="12"/>
      <c r="O107" s="14"/>
      <c r="P107" s="11">
        <f>SUM(P103:P106)</f>
        <v>0</v>
      </c>
      <c r="Q107" s="11">
        <f>SUM(Q103:Q106)</f>
        <v>0</v>
      </c>
      <c r="R107" s="11"/>
      <c r="S107" s="11">
        <f>SUM(S103:S106)</f>
        <v>0</v>
      </c>
      <c r="T107" s="11"/>
      <c r="U107" s="11"/>
      <c r="V107" s="11"/>
      <c r="W107" s="11"/>
      <c r="X107" s="11"/>
      <c r="Y107" s="11"/>
      <c r="Z107" s="11"/>
      <c r="AA107" s="11"/>
    </row>
    <row r="108" ht="15">
      <c r="A108">
        <v>1</v>
      </c>
      <c r="B108" s="6" t="s">
        <v>228</v>
      </c>
      <c r="C108" s="2">
        <v>16</v>
      </c>
      <c r="D108" s="2"/>
      <c r="E108" s="2" t="s">
        <v>229</v>
      </c>
      <c r="F108" s="2" t="s">
        <v>230</v>
      </c>
      <c r="G108" s="6" t="s">
        <v>30</v>
      </c>
      <c r="H108" s="2" t="s">
        <v>31</v>
      </c>
      <c r="I108" s="2" t="s">
        <v>32</v>
      </c>
      <c r="J108" s="2">
        <v>0.118</v>
      </c>
      <c r="K108" s="2">
        <v>0.112</v>
      </c>
      <c r="L108" s="2">
        <v>3.1</v>
      </c>
      <c r="M108" s="2">
        <v>4</v>
      </c>
      <c r="N108" s="4" t="s">
        <v>33</v>
      </c>
      <c r="O108" s="9" t="s">
        <v>34</v>
      </c>
      <c r="P108" s="2">
        <v>12.4</v>
      </c>
      <c r="Q108" s="2">
        <v>0</v>
      </c>
      <c r="R108" s="6" t="s">
        <v>34</v>
      </c>
      <c r="S108" s="2"/>
      <c r="T108" s="2">
        <v>633.87</v>
      </c>
      <c r="U108" s="2">
        <v>31.69</v>
      </c>
      <c r="V108" s="2"/>
      <c r="W108" s="2"/>
      <c r="X108" s="2"/>
      <c r="Y108" s="2">
        <v>133.11</v>
      </c>
      <c r="Z108" s="2"/>
      <c r="AA108" s="10">
        <v>798.67</v>
      </c>
    </row>
    <row r="109" ht="15">
      <c r="A109">
        <v>2</v>
      </c>
      <c r="B109" s="6"/>
      <c r="C109" s="2">
        <v>16</v>
      </c>
      <c r="D109" s="2"/>
      <c r="E109" s="2" t="s">
        <v>231</v>
      </c>
      <c r="F109" s="2" t="s">
        <v>232</v>
      </c>
      <c r="G109" s="6" t="s">
        <v>30</v>
      </c>
      <c r="H109" s="2" t="s">
        <v>31</v>
      </c>
      <c r="I109" s="2" t="s">
        <v>138</v>
      </c>
      <c r="J109" s="2">
        <v>0.928</v>
      </c>
      <c r="K109" s="2">
        <v>0.882</v>
      </c>
      <c r="L109" s="2">
        <v>8.6</v>
      </c>
      <c r="M109" s="2">
        <v>2</v>
      </c>
      <c r="N109" s="4" t="s">
        <v>33</v>
      </c>
      <c r="O109" s="9" t="s">
        <v>34</v>
      </c>
      <c r="P109" s="2">
        <v>17.2</v>
      </c>
      <c r="Q109" s="2">
        <v>0</v>
      </c>
      <c r="R109" s="6" t="s">
        <v>34</v>
      </c>
      <c r="S109" s="2"/>
      <c r="T109" s="2">
        <v>883.96</v>
      </c>
      <c r="U109" s="2">
        <v>44.2</v>
      </c>
      <c r="V109" s="2"/>
      <c r="W109" s="2"/>
      <c r="X109" s="2"/>
      <c r="Y109" s="2">
        <v>185.63</v>
      </c>
      <c r="Z109" s="2"/>
      <c r="AA109" s="10">
        <v>1113.79</v>
      </c>
    </row>
    <row r="110" ht="15">
      <c r="A110">
        <v>3</v>
      </c>
      <c r="B110" s="6"/>
      <c r="C110" s="2">
        <v>16</v>
      </c>
      <c r="D110" s="2"/>
      <c r="E110" s="2" t="s">
        <v>233</v>
      </c>
      <c r="F110" s="2" t="s">
        <v>234</v>
      </c>
      <c r="G110" s="6" t="s">
        <v>30</v>
      </c>
      <c r="H110" s="2" t="s">
        <v>31</v>
      </c>
      <c r="I110" s="2" t="s">
        <v>138</v>
      </c>
      <c r="J110" s="2">
        <v>62.284</v>
      </c>
      <c r="K110" s="2">
        <v>59.17</v>
      </c>
      <c r="L110" s="2">
        <v>30.39</v>
      </c>
      <c r="M110" s="2">
        <v>10</v>
      </c>
      <c r="N110" s="4" t="s">
        <v>33</v>
      </c>
      <c r="O110" s="9" t="s">
        <v>34</v>
      </c>
      <c r="P110" s="2">
        <v>303.9</v>
      </c>
      <c r="Q110" s="2">
        <v>0</v>
      </c>
      <c r="R110" s="6" t="s">
        <v>34</v>
      </c>
      <c r="S110" s="2"/>
      <c r="T110" s="2">
        <v>15902.09</v>
      </c>
      <c r="U110" s="13">
        <f>SUM(795.1,0.01)</f>
        <v>0</v>
      </c>
      <c r="V110" s="2"/>
      <c r="W110" s="2"/>
      <c r="X110" s="2"/>
      <c r="Y110" s="2">
        <v>3339.44</v>
      </c>
      <c r="Z110" s="2"/>
      <c r="AA110" s="10">
        <v>20036.63</v>
      </c>
    </row>
    <row r="111" ht="15">
      <c r="A111" s="11"/>
      <c r="B111" s="11"/>
      <c r="C111" s="11"/>
      <c r="D111" s="11"/>
      <c r="E111" s="11"/>
      <c r="F111" s="11" t="s">
        <v>235</v>
      </c>
      <c r="G111" s="11"/>
      <c r="H111" s="11"/>
      <c r="I111" s="11"/>
      <c r="J111" s="11">
        <f>SUM(J108:J110)</f>
        <v>0</v>
      </c>
      <c r="K111" s="11">
        <f>SUM(K108:K110)</f>
        <v>0</v>
      </c>
      <c r="L111" s="11"/>
      <c r="M111" s="11">
        <f>SUM(M108:M110)</f>
        <v>0</v>
      </c>
      <c r="N111" s="12"/>
      <c r="O111" s="14"/>
      <c r="P111" s="11">
        <f>SUM(P108:P110)</f>
        <v>0</v>
      </c>
      <c r="Q111" s="11">
        <f>SUM(Q108:Q110)</f>
        <v>0</v>
      </c>
      <c r="R111" s="11"/>
      <c r="S111" s="11">
        <f>SUM(S108:S110)</f>
        <v>0</v>
      </c>
      <c r="T111" s="11"/>
      <c r="U111" s="11"/>
      <c r="V111" s="11"/>
      <c r="W111" s="11"/>
      <c r="X111" s="11"/>
      <c r="Y111" s="11"/>
      <c r="Z111" s="11"/>
      <c r="AA111" s="11"/>
    </row>
    <row r="112" ht="15">
      <c r="A112">
        <v>1</v>
      </c>
      <c r="B112" s="6" t="s">
        <v>236</v>
      </c>
      <c r="C112" s="2">
        <v>17</v>
      </c>
      <c r="D112" s="2"/>
      <c r="E112" s="2" t="s">
        <v>237</v>
      </c>
      <c r="F112" s="2" t="s">
        <v>238</v>
      </c>
      <c r="G112" s="6" t="s">
        <v>30</v>
      </c>
      <c r="H112" s="2" t="s">
        <v>31</v>
      </c>
      <c r="I112" s="2" t="s">
        <v>138</v>
      </c>
      <c r="J112" s="2">
        <v>11.183</v>
      </c>
      <c r="K112" s="2">
        <v>10.624</v>
      </c>
      <c r="L112" s="2">
        <v>1.22</v>
      </c>
      <c r="M112" s="2">
        <v>32</v>
      </c>
      <c r="N112" s="4" t="s">
        <v>33</v>
      </c>
      <c r="O112" s="9" t="s">
        <v>34</v>
      </c>
      <c r="P112" s="2">
        <v>39.04</v>
      </c>
      <c r="Q112" s="2">
        <v>0</v>
      </c>
      <c r="R112" s="6" t="s">
        <v>34</v>
      </c>
      <c r="S112" s="2"/>
      <c r="T112" s="2">
        <v>2062.51</v>
      </c>
      <c r="U112" s="2">
        <v>206.25</v>
      </c>
      <c r="V112" s="2"/>
      <c r="W112" s="2"/>
      <c r="X112" s="2"/>
      <c r="Y112" s="2">
        <v>453.75</v>
      </c>
      <c r="Z112" s="2"/>
      <c r="AA112" s="10">
        <v>2722.51</v>
      </c>
    </row>
    <row r="113" ht="15">
      <c r="A113">
        <v>2</v>
      </c>
      <c r="B113" s="6"/>
      <c r="C113" s="2">
        <v>17</v>
      </c>
      <c r="D113" s="2"/>
      <c r="E113" s="2" t="s">
        <v>239</v>
      </c>
      <c r="F113" s="2" t="s">
        <v>240</v>
      </c>
      <c r="G113" s="6" t="s">
        <v>30</v>
      </c>
      <c r="H113" s="2" t="s">
        <v>31</v>
      </c>
      <c r="I113" s="2" t="s">
        <v>138</v>
      </c>
      <c r="J113" s="2">
        <v>0.421</v>
      </c>
      <c r="K113" s="2">
        <v>0.4</v>
      </c>
      <c r="L113" s="2">
        <v>1.1</v>
      </c>
      <c r="M113" s="2">
        <v>2</v>
      </c>
      <c r="N113" s="4" t="s">
        <v>33</v>
      </c>
      <c r="O113" s="9" t="s">
        <v>34</v>
      </c>
      <c r="P113" s="2">
        <v>2.2</v>
      </c>
      <c r="Q113" s="2">
        <v>0</v>
      </c>
      <c r="R113" s="6" t="s">
        <v>34</v>
      </c>
      <c r="S113" s="2"/>
      <c r="T113" s="2">
        <v>114.93</v>
      </c>
      <c r="U113" s="2">
        <v>11.49</v>
      </c>
      <c r="V113" s="2"/>
      <c r="W113" s="2"/>
      <c r="X113" s="2"/>
      <c r="Y113" s="2">
        <v>25.28</v>
      </c>
      <c r="Z113" s="2"/>
      <c r="AA113" s="10">
        <v>151.7</v>
      </c>
    </row>
    <row r="114" ht="15">
      <c r="A114">
        <v>3</v>
      </c>
      <c r="B114" s="6"/>
      <c r="C114" s="2">
        <v>17</v>
      </c>
      <c r="D114" s="2"/>
      <c r="E114" s="2" t="s">
        <v>241</v>
      </c>
      <c r="F114" s="2" t="s">
        <v>242</v>
      </c>
      <c r="G114" s="6" t="s">
        <v>30</v>
      </c>
      <c r="H114" s="2" t="s">
        <v>31</v>
      </c>
      <c r="I114" s="2" t="s">
        <v>138</v>
      </c>
      <c r="J114" s="2">
        <v>209.852</v>
      </c>
      <c r="K114" s="2">
        <v>199.36</v>
      </c>
      <c r="L114" s="2">
        <v>3.1</v>
      </c>
      <c r="M114" s="2">
        <v>224</v>
      </c>
      <c r="N114" s="4" t="s">
        <v>33</v>
      </c>
      <c r="O114" s="9" t="s">
        <v>34</v>
      </c>
      <c r="P114" s="2">
        <v>694.4</v>
      </c>
      <c r="Q114" s="2">
        <v>0</v>
      </c>
      <c r="R114" s="6" t="s">
        <v>34</v>
      </c>
      <c r="S114" s="2"/>
      <c r="T114" s="13">
        <f>SUM(36753.24,0.01)</f>
        <v>0</v>
      </c>
      <c r="U114" s="13">
        <f>SUM(3675.32,0.01)</f>
        <v>0</v>
      </c>
      <c r="V114" s="2"/>
      <c r="W114" s="2"/>
      <c r="X114" s="2"/>
      <c r="Y114" s="13">
        <f>SUM(8085.71,0.01)</f>
        <v>0</v>
      </c>
      <c r="Z114" s="2"/>
      <c r="AA114" s="10">
        <v>48514.27</v>
      </c>
    </row>
    <row r="115" ht="15">
      <c r="A115" s="11"/>
      <c r="B115" s="11"/>
      <c r="C115" s="11"/>
      <c r="D115" s="11"/>
      <c r="E115" s="11"/>
      <c r="F115" s="11" t="s">
        <v>243</v>
      </c>
      <c r="G115" s="11"/>
      <c r="H115" s="11"/>
      <c r="I115" s="11"/>
      <c r="J115" s="11">
        <f>SUM(J112:J114)</f>
        <v>0</v>
      </c>
      <c r="K115" s="11">
        <f>SUM(K112:K114)</f>
        <v>0</v>
      </c>
      <c r="L115" s="11"/>
      <c r="M115" s="11">
        <f>SUM(M112:M114)</f>
        <v>0</v>
      </c>
      <c r="N115" s="12"/>
      <c r="O115" s="14"/>
      <c r="P115" s="11">
        <f>SUM(P112:P114)</f>
        <v>0</v>
      </c>
      <c r="Q115" s="11">
        <f>SUM(Q112:Q114)</f>
        <v>0</v>
      </c>
      <c r="R115" s="11"/>
      <c r="S115" s="11">
        <f>SUM(S112:S114)</f>
        <v>0</v>
      </c>
      <c r="T115" s="11"/>
      <c r="U115" s="11"/>
      <c r="V115" s="11"/>
      <c r="W115" s="11"/>
      <c r="X115" s="11"/>
      <c r="Y115" s="11"/>
      <c r="Z115" s="11"/>
      <c r="AA115" s="11"/>
    </row>
    <row r="116" ht="15">
      <c r="A116">
        <v>1</v>
      </c>
      <c r="B116" s="6" t="s">
        <v>244</v>
      </c>
      <c r="C116" s="2">
        <v>18</v>
      </c>
      <c r="D116" s="2"/>
      <c r="E116" s="2" t="s">
        <v>245</v>
      </c>
      <c r="F116" s="2" t="s">
        <v>246</v>
      </c>
      <c r="G116" s="6" t="s">
        <v>30</v>
      </c>
      <c r="H116" s="2" t="s">
        <v>31</v>
      </c>
      <c r="I116" s="2" t="s">
        <v>32</v>
      </c>
      <c r="J116" s="2">
        <v>0.136</v>
      </c>
      <c r="K116" s="2">
        <v>0.129</v>
      </c>
      <c r="L116" s="2">
        <v>3.3</v>
      </c>
      <c r="M116" s="2">
        <v>1</v>
      </c>
      <c r="N116" s="4" t="s">
        <v>33</v>
      </c>
      <c r="O116" s="9" t="s">
        <v>34</v>
      </c>
      <c r="P116" s="2">
        <v>3.3</v>
      </c>
      <c r="Q116" s="2">
        <v>0</v>
      </c>
      <c r="R116" s="6" t="s">
        <v>34</v>
      </c>
      <c r="S116" s="2"/>
      <c r="T116" s="2">
        <v>169.34</v>
      </c>
      <c r="U116" s="2">
        <v>16.93</v>
      </c>
      <c r="V116" s="2"/>
      <c r="W116" s="2"/>
      <c r="X116" s="2"/>
      <c r="Y116" s="2">
        <v>37.25</v>
      </c>
      <c r="Z116" s="2"/>
      <c r="AA116" s="10">
        <v>223.52</v>
      </c>
    </row>
    <row r="117" ht="15">
      <c r="A117">
        <v>2</v>
      </c>
      <c r="B117" s="6"/>
      <c r="C117" s="2">
        <v>18</v>
      </c>
      <c r="D117" s="2"/>
      <c r="E117" s="2" t="s">
        <v>247</v>
      </c>
      <c r="F117" s="2" t="s">
        <v>248</v>
      </c>
      <c r="G117" s="6" t="s">
        <v>30</v>
      </c>
      <c r="H117" s="2" t="s">
        <v>31</v>
      </c>
      <c r="I117" s="2" t="s">
        <v>138</v>
      </c>
      <c r="J117" s="2">
        <v>0.158</v>
      </c>
      <c r="K117" s="2">
        <v>0.15</v>
      </c>
      <c r="L117" s="2">
        <v>1.1</v>
      </c>
      <c r="M117" s="2">
        <v>5</v>
      </c>
      <c r="N117" s="4" t="s">
        <v>33</v>
      </c>
      <c r="O117" s="9" t="s">
        <v>34</v>
      </c>
      <c r="P117" s="2">
        <v>5.5</v>
      </c>
      <c r="Q117" s="2">
        <v>0</v>
      </c>
      <c r="R117" s="6" t="s">
        <v>34</v>
      </c>
      <c r="S117" s="2"/>
      <c r="T117" s="2">
        <v>281.8</v>
      </c>
      <c r="U117" s="2">
        <v>28.18</v>
      </c>
      <c r="V117" s="2"/>
      <c r="W117" s="2"/>
      <c r="X117" s="2"/>
      <c r="Y117" s="2">
        <v>62</v>
      </c>
      <c r="Z117" s="2"/>
      <c r="AA117" s="10">
        <v>371.98</v>
      </c>
    </row>
    <row r="118" ht="15">
      <c r="A118" s="11"/>
      <c r="B118" s="11"/>
      <c r="C118" s="11"/>
      <c r="D118" s="11"/>
      <c r="E118" s="11"/>
      <c r="F118" s="11" t="s">
        <v>249</v>
      </c>
      <c r="G118" s="11"/>
      <c r="H118" s="11"/>
      <c r="I118" s="11"/>
      <c r="J118" s="11">
        <f>SUM(J116:J117)</f>
        <v>0</v>
      </c>
      <c r="K118" s="11">
        <f>SUM(K116:K117)</f>
        <v>0</v>
      </c>
      <c r="L118" s="11"/>
      <c r="M118" s="11">
        <f>SUM(M116:M117)</f>
        <v>0</v>
      </c>
      <c r="N118" s="12"/>
      <c r="O118" s="14"/>
      <c r="P118" s="11">
        <f>SUM(P116:P117)</f>
        <v>0</v>
      </c>
      <c r="Q118" s="11">
        <f>SUM(Q116:Q117)</f>
        <v>0</v>
      </c>
      <c r="R118" s="11"/>
      <c r="S118" s="11">
        <f>SUM(S116:S117)</f>
        <v>0</v>
      </c>
      <c r="T118" s="11"/>
      <c r="U118" s="11"/>
      <c r="V118" s="11"/>
      <c r="W118" s="11"/>
      <c r="X118" s="11"/>
      <c r="Y118" s="11"/>
      <c r="Z118" s="11"/>
      <c r="AA118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2026-07-20T16:39:31Z</dcterms:created>
  <dcterms:modified xsi:type="dcterms:W3CDTF">2026-07-20T13:39:31Z</dcterms:modified>
</cp:coreProperties>
</file>