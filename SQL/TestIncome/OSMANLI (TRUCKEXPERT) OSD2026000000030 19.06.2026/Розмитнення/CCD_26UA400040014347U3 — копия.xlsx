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profiles\groups\Робота 2А\ПОСТАВКИ В УКР\АМГ\2026\П19 osmanli+mayer+aymeks+fss+remi+NRSP+HP\OSMANLI (TRUCKEXPERT) OSD2026000000030 19.06.2026\Розмитнення\"/>
    </mc:Choice>
  </mc:AlternateContent>
  <xr:revisionPtr revIDLastSave="0" documentId="13_ncr:1_{C987DA36-E390-4E61-A9F6-0325774C8C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17" i="1" l="1"/>
  <c r="I117" i="1"/>
  <c r="J117" i="1"/>
  <c r="K117" i="1"/>
  <c r="L117" i="1"/>
  <c r="M117" i="1"/>
  <c r="G117" i="1"/>
  <c r="F103" i="1" l="1"/>
  <c r="F101" i="1"/>
  <c r="G101" i="1"/>
  <c r="H101" i="1"/>
  <c r="I101" i="1"/>
  <c r="J101" i="1"/>
  <c r="K101" i="1"/>
  <c r="L101" i="1"/>
  <c r="M101" i="1"/>
  <c r="E101" i="1"/>
  <c r="L98" i="1"/>
  <c r="K98" i="1"/>
  <c r="J98" i="1"/>
  <c r="K95" i="1"/>
  <c r="L92" i="1"/>
  <c r="L87" i="1"/>
  <c r="L85" i="1"/>
  <c r="K85" i="1"/>
  <c r="J77" i="1"/>
  <c r="L72" i="1"/>
  <c r="K72" i="1"/>
  <c r="K70" i="1"/>
  <c r="K63" i="1"/>
  <c r="J60" i="1"/>
  <c r="L47" i="1"/>
  <c r="K47" i="1"/>
  <c r="J47" i="1"/>
</calcChain>
</file>

<file path=xl/sharedStrings.xml><?xml version="1.0" encoding="utf-8"?>
<sst xmlns="http://schemas.openxmlformats.org/spreadsheetml/2006/main" count="407" uniqueCount="291">
  <si>
    <t>Список товарів електронного інвойсу МД № 26UA400040014347U3 від 20.07.2026</t>
  </si>
  <si>
    <t>Код товару</t>
  </si>
  <si>
    <t>Артикул</t>
  </si>
  <si>
    <t>Назва товару</t>
  </si>
  <si>
    <t>Маса брутто</t>
  </si>
  <si>
    <t>Маса нетто</t>
  </si>
  <si>
    <t>Ціна</t>
  </si>
  <si>
    <t>Кіл-ть</t>
  </si>
  <si>
    <t>Вартість</t>
  </si>
  <si>
    <t>Митна вартість</t>
  </si>
  <si>
    <t>Мито</t>
  </si>
  <si>
    <t>СО</t>
  </si>
  <si>
    <t>ПДВ</t>
  </si>
  <si>
    <t>8708309198</t>
  </si>
  <si>
    <t>346 01 075</t>
  </si>
  <si>
    <t xml:space="preserve">Кронштейн супорта-2шт, </t>
  </si>
  <si>
    <t>346 01 403</t>
  </si>
  <si>
    <t xml:space="preserve">Комплект ремонтний супорта-100шт, </t>
  </si>
  <si>
    <t>346 01 550</t>
  </si>
  <si>
    <t>346 00 062</t>
  </si>
  <si>
    <t xml:space="preserve">Комплект ремонтний підшипника супорта-60шт, </t>
  </si>
  <si>
    <t>346 01 134</t>
  </si>
  <si>
    <t xml:space="preserve">Комплект ремонтний направляючих супорта-50шт, </t>
  </si>
  <si>
    <t>346 00 113</t>
  </si>
  <si>
    <t xml:space="preserve">Комплект ремонтний направляючих супорта-40шт, </t>
  </si>
  <si>
    <t>346 00 069</t>
  </si>
  <si>
    <t xml:space="preserve">Кришка супорта пластмаса-30шт, </t>
  </si>
  <si>
    <t>346 02 048</t>
  </si>
  <si>
    <t xml:space="preserve">Комплект ремонтний важеля супорта-20шт, </t>
  </si>
  <si>
    <t>346 01 402</t>
  </si>
  <si>
    <t xml:space="preserve">Комплект ремонтний направляючих супорта-20шт, </t>
  </si>
  <si>
    <t>346 01 440</t>
  </si>
  <si>
    <t>346 00 085</t>
  </si>
  <si>
    <t xml:space="preserve">Комплект ремонтний супорта-20шт, </t>
  </si>
  <si>
    <t>346 00 440</t>
  </si>
  <si>
    <t xml:space="preserve">Комплект ремонтний направляючих супорта-18шт, </t>
  </si>
  <si>
    <t>346 00 057</t>
  </si>
  <si>
    <t xml:space="preserve">Важіль супорта-12шт, </t>
  </si>
  <si>
    <t>346 00 584</t>
  </si>
  <si>
    <t xml:space="preserve">Комплект втулок суппорта-12шт, </t>
  </si>
  <si>
    <t>346 01 141</t>
  </si>
  <si>
    <t xml:space="preserve">Блок приводу супорта з пружинами-10шт, </t>
  </si>
  <si>
    <t>346 00 111</t>
  </si>
  <si>
    <t xml:space="preserve">Комплект ремонтний супорта-10шт, </t>
  </si>
  <si>
    <t>346 00 305</t>
  </si>
  <si>
    <t>346 00 675</t>
  </si>
  <si>
    <t xml:space="preserve">Комплект ремонтний важеля супорта-8шт, </t>
  </si>
  <si>
    <t>346 00 725</t>
  </si>
  <si>
    <t xml:space="preserve">Пластина супорта нажимна лівого-8шт, </t>
  </si>
  <si>
    <t>346 00 533</t>
  </si>
  <si>
    <t xml:space="preserve">Комплект ремонтний механізму самопідводу-6шт, </t>
  </si>
  <si>
    <t>346 01 029</t>
  </si>
  <si>
    <t xml:space="preserve">Комплект ремонтний супорта-6шт, </t>
  </si>
  <si>
    <t>346 00 764</t>
  </si>
  <si>
    <t xml:space="preserve">Комплект пиловиків супорта-4шт, </t>
  </si>
  <si>
    <t>346 01 062</t>
  </si>
  <si>
    <t xml:space="preserve">Комплект ремонтний важеля супорта-4шт, </t>
  </si>
  <si>
    <t>346 00 993</t>
  </si>
  <si>
    <t xml:space="preserve">Комплект ремонтний підшипника супорта-4шт, </t>
  </si>
  <si>
    <t>346 01 046</t>
  </si>
  <si>
    <t xml:space="preserve">Комплект ремонтний підшипника супорта гальмівного-4шт, </t>
  </si>
  <si>
    <t>346 02 024</t>
  </si>
  <si>
    <t xml:space="preserve">Комплект ремонтний саморегулятора-4шт, </t>
  </si>
  <si>
    <t>346 00 281</t>
  </si>
  <si>
    <t xml:space="preserve">Комплект ремонтний супорта-4шт, </t>
  </si>
  <si>
    <t>346 00 262</t>
  </si>
  <si>
    <t xml:space="preserve">Комплект ремонтний привода супорта правий-3шт, </t>
  </si>
  <si>
    <t>346 01 009</t>
  </si>
  <si>
    <t xml:space="preserve">Комплект ремонтний механізму привода супорта-2шт, </t>
  </si>
  <si>
    <t>346 00 082</t>
  </si>
  <si>
    <t xml:space="preserve">Пиловик супорта-2шт, </t>
  </si>
  <si>
    <t>346 01 579</t>
  </si>
  <si>
    <t xml:space="preserve">Комплект кришок супорта-156шт, </t>
  </si>
  <si>
    <t>346 01 670</t>
  </si>
  <si>
    <t xml:space="preserve">Втулка супорта-52шт, </t>
  </si>
  <si>
    <t>346 00 068</t>
  </si>
  <si>
    <t xml:space="preserve">Кришка супорта з болтами-32шт, </t>
  </si>
  <si>
    <t>346 00 045</t>
  </si>
  <si>
    <t xml:space="preserve">Комплект ремонтний блока привода супорта-20шт, </t>
  </si>
  <si>
    <t>346 00 112</t>
  </si>
  <si>
    <t>346 00 059</t>
  </si>
  <si>
    <t>346 02 623</t>
  </si>
  <si>
    <t xml:space="preserve">Комплект кришок супорта-8шт, </t>
  </si>
  <si>
    <t>346 00 047</t>
  </si>
  <si>
    <t xml:space="preserve">Комплект ремонтний блока привода супорта-8шт, </t>
  </si>
  <si>
    <t>346 01 399</t>
  </si>
  <si>
    <t xml:space="preserve">Комплект ремонтний супорта-8шт, </t>
  </si>
  <si>
    <t>346 02 130</t>
  </si>
  <si>
    <t xml:space="preserve">Важіль супорта-6шт, </t>
  </si>
  <si>
    <t>346 00 078</t>
  </si>
  <si>
    <t xml:space="preserve">Комплект ремонтний супорта-120шт, </t>
  </si>
  <si>
    <t>346 00 048</t>
  </si>
  <si>
    <t xml:space="preserve">Механізм підведення супорта гальмівного в зборі-120шт, </t>
  </si>
  <si>
    <t>346 00 084</t>
  </si>
  <si>
    <t xml:space="preserve">Комплект ремонтний направляючих супорта-100шт, </t>
  </si>
  <si>
    <t>346 00 064</t>
  </si>
  <si>
    <t xml:space="preserve">Комплект ремонтний підшипника супорта-100шт, </t>
  </si>
  <si>
    <t>346 00 074</t>
  </si>
  <si>
    <t xml:space="preserve">Комплект пиловиків супорта-84шт, </t>
  </si>
  <si>
    <t>346 00 187</t>
  </si>
  <si>
    <t>346 00 114</t>
  </si>
  <si>
    <t>346 01 110</t>
  </si>
  <si>
    <t xml:space="preserve">Комплект ремонтний штовхача супорта-50шт, </t>
  </si>
  <si>
    <t>346 00 106</t>
  </si>
  <si>
    <t xml:space="preserve">Комплект ремонтний супорта-30шт, </t>
  </si>
  <si>
    <t>346 01 028</t>
  </si>
  <si>
    <t>346 01 405</t>
  </si>
  <si>
    <t xml:space="preserve">Механізм приводу супорта в зборі-20шт, </t>
  </si>
  <si>
    <t>346 02 333</t>
  </si>
  <si>
    <t xml:space="preserve">Комплект пиловиків супорта-6шт, </t>
  </si>
  <si>
    <t>346 01 008</t>
  </si>
  <si>
    <t>3917320090</t>
  </si>
  <si>
    <t>149 55 036</t>
  </si>
  <si>
    <t xml:space="preserve">Патрубок інтеркулера силікон-4шт, </t>
  </si>
  <si>
    <t>3926300090</t>
  </si>
  <si>
    <t xml:space="preserve">Шайба-60шт, </t>
  </si>
  <si>
    <t>394 23 157</t>
  </si>
  <si>
    <t xml:space="preserve">Стакан пневмоподушки пластмасовий-40шт, </t>
  </si>
  <si>
    <t>4009310000</t>
  </si>
  <si>
    <t xml:space="preserve">Патрубок маслозаливної горловини резина-2шт, </t>
  </si>
  <si>
    <t>4016930090</t>
  </si>
  <si>
    <t>325 00 141</t>
  </si>
  <si>
    <t xml:space="preserve">Сальник валу-10шт, </t>
  </si>
  <si>
    <t>346 00 951</t>
  </si>
  <si>
    <t xml:space="preserve">Пиловик саморегулятора гальм-20шт, </t>
  </si>
  <si>
    <t>346 01 887</t>
  </si>
  <si>
    <t xml:space="preserve">Пиловик супорта-10шт, </t>
  </si>
  <si>
    <t>4016995290</t>
  </si>
  <si>
    <t xml:space="preserve">Сайлентблок стабілізатора-4шт, </t>
  </si>
  <si>
    <t>400 33 004</t>
  </si>
  <si>
    <t xml:space="preserve">Втулка ресорна гума-метал-20шт, </t>
  </si>
  <si>
    <t xml:space="preserve">Буфер-4шт, </t>
  </si>
  <si>
    <t>467 55 002</t>
  </si>
  <si>
    <t xml:space="preserve">Пневмоподушка кабіни-4шт, </t>
  </si>
  <si>
    <t xml:space="preserve">Подушка глушника-2шт, </t>
  </si>
  <si>
    <t>ED 14158-KP</t>
  </si>
  <si>
    <t xml:space="preserve">Пневмоподушка (з пласт стаканом)-15шт, </t>
  </si>
  <si>
    <t>ED 1940</t>
  </si>
  <si>
    <t xml:space="preserve">Пневмоподушка-8шт, </t>
  </si>
  <si>
    <t>4016995790</t>
  </si>
  <si>
    <t xml:space="preserve">Напіввтулка стабілізатора-8шт, </t>
  </si>
  <si>
    <t xml:space="preserve">Подушка-4шт, </t>
  </si>
  <si>
    <t>7315890000</t>
  </si>
  <si>
    <t>346 00 066</t>
  </si>
  <si>
    <t xml:space="preserve">Ланцюг привода супорта гальмівного-40шт, </t>
  </si>
  <si>
    <t>7318158290</t>
  </si>
  <si>
    <t xml:space="preserve">Болт-500шт, </t>
  </si>
  <si>
    <t>7318220090</t>
  </si>
  <si>
    <t xml:space="preserve">Шайба пальця ресорного метал.-4шт, </t>
  </si>
  <si>
    <t xml:space="preserve">Шайба замка сідла-6шт, </t>
  </si>
  <si>
    <t>7320208190</t>
  </si>
  <si>
    <t xml:space="preserve">Пружина колодки барабанної-10шт, </t>
  </si>
  <si>
    <t>346 01 619</t>
  </si>
  <si>
    <t xml:space="preserve">Пружина важеля супорта-20шт, </t>
  </si>
  <si>
    <t xml:space="preserve">Пружина сідла-20шт, </t>
  </si>
  <si>
    <t>8708309998</t>
  </si>
  <si>
    <t xml:space="preserve">Комплект ремонтний кріплення колодки барабанної-2шт, </t>
  </si>
  <si>
    <t xml:space="preserve">Ролик колодки барабанної метал-12шт, </t>
  </si>
  <si>
    <t xml:space="preserve">Комплект ремонтний колодки барабанної-8шт, </t>
  </si>
  <si>
    <t>349 00 021</t>
  </si>
  <si>
    <t xml:space="preserve">Комплект ремонтний колодки барабанной-16шт, </t>
  </si>
  <si>
    <t xml:space="preserve">Захист барабана гальмівного-30шт, </t>
  </si>
  <si>
    <t>8708409998</t>
  </si>
  <si>
    <t xml:space="preserve">Накінечник тяги важеля КПШ-10шт, </t>
  </si>
  <si>
    <t>297 04 597</t>
  </si>
  <si>
    <t xml:space="preserve">Накінечник тяги важеля КПШ-20шт, </t>
  </si>
  <si>
    <t>8708803598</t>
  </si>
  <si>
    <t>467 33 006</t>
  </si>
  <si>
    <t xml:space="preserve">Амортизатор кабіни з пневмоподушкою-6шт, </t>
  </si>
  <si>
    <t>8708949998</t>
  </si>
  <si>
    <t>297 00 082</t>
  </si>
  <si>
    <t xml:space="preserve">Накінечник тяги рульової-6шт, </t>
  </si>
  <si>
    <t xml:space="preserve">Накінечник тяги рульової-4шт, </t>
  </si>
  <si>
    <t>297 00 098</t>
  </si>
  <si>
    <t>8708999798</t>
  </si>
  <si>
    <t>147 33 139</t>
  </si>
  <si>
    <t xml:space="preserve">Трубка компресора-4шт, </t>
  </si>
  <si>
    <t xml:space="preserve">Горловина маслозаливна-2шт, </t>
  </si>
  <si>
    <t xml:space="preserve">Комплект ремонтний сідла-10шт, </t>
  </si>
  <si>
    <t>8716909090</t>
  </si>
  <si>
    <t xml:space="preserve">Пластина пальця ресори причіпа-32шт, </t>
  </si>
  <si>
    <t xml:space="preserve">Кільце масловідбиваюче-2шт, </t>
  </si>
  <si>
    <t xml:space="preserve">Пластина монтажна підвіски-224шт, </t>
  </si>
  <si>
    <t>9017809000</t>
  </si>
  <si>
    <t>105 33 031</t>
  </si>
  <si>
    <t xml:space="preserve">Щуп рівня масла-1шт, </t>
  </si>
  <si>
    <t xml:space="preserve">Щуп рівня масла-5шт, </t>
  </si>
  <si>
    <t>96555CNT</t>
  </si>
  <si>
    <t>12514CNT</t>
  </si>
  <si>
    <t>30295CNT</t>
  </si>
  <si>
    <t>30042CNT</t>
  </si>
  <si>
    <t>71381CNT</t>
  </si>
  <si>
    <t>71530CNT</t>
  </si>
  <si>
    <t>95201CNT</t>
  </si>
  <si>
    <t>73660CNT</t>
  </si>
  <si>
    <t>73315CNT</t>
  </si>
  <si>
    <t>74873CNT</t>
  </si>
  <si>
    <t>71585CNT</t>
  </si>
  <si>
    <t>71623CNT</t>
  </si>
  <si>
    <t>71819CNT</t>
  </si>
  <si>
    <t>72433CNT</t>
  </si>
  <si>
    <t>71821CNT</t>
  </si>
  <si>
    <t>70892CNT</t>
  </si>
  <si>
    <t>11512CNT</t>
  </si>
  <si>
    <t>10642CNT</t>
  </si>
  <si>
    <t>10641CNT</t>
  </si>
  <si>
    <t>101499CNT</t>
  </si>
  <si>
    <t>72199CNT</t>
  </si>
  <si>
    <t>36757CNT</t>
  </si>
  <si>
    <t>71005CNT</t>
  </si>
  <si>
    <t>13494CNT</t>
  </si>
  <si>
    <t>96653CNT</t>
  </si>
  <si>
    <t>34601075TE</t>
  </si>
  <si>
    <t>34601403TE</t>
  </si>
  <si>
    <t>34601550TE</t>
  </si>
  <si>
    <t>34600062TE</t>
  </si>
  <si>
    <t>34601134TE</t>
  </si>
  <si>
    <t>34600113TE</t>
  </si>
  <si>
    <t>34600069TE</t>
  </si>
  <si>
    <t>34602048TE</t>
  </si>
  <si>
    <t>34601402TE</t>
  </si>
  <si>
    <t>34601440TE</t>
  </si>
  <si>
    <t>34600085TE</t>
  </si>
  <si>
    <t>34600440TE</t>
  </si>
  <si>
    <t>34600057TE</t>
  </si>
  <si>
    <t>34600584TE</t>
  </si>
  <si>
    <t>34601141TE</t>
  </si>
  <si>
    <t>34600111TE</t>
  </si>
  <si>
    <t>34600305TE</t>
  </si>
  <si>
    <t>34600675TE</t>
  </si>
  <si>
    <t>34600725TE</t>
  </si>
  <si>
    <t>34600533TE</t>
  </si>
  <si>
    <t>34601029TE</t>
  </si>
  <si>
    <t>34600764TE</t>
  </si>
  <si>
    <t>34601062TE</t>
  </si>
  <si>
    <t>34600993TE</t>
  </si>
  <si>
    <t>34601046TE</t>
  </si>
  <si>
    <t>34602024TE</t>
  </si>
  <si>
    <t>34600281TE</t>
  </si>
  <si>
    <t>34600262TE</t>
  </si>
  <si>
    <t>34601009TE</t>
  </si>
  <si>
    <t>34600082TE</t>
  </si>
  <si>
    <t>34601579TE</t>
  </si>
  <si>
    <t>34601670TE</t>
  </si>
  <si>
    <t>34600068TE</t>
  </si>
  <si>
    <t>34600045TE</t>
  </si>
  <si>
    <t>34600112TE</t>
  </si>
  <si>
    <t>34600059TE</t>
  </si>
  <si>
    <t>34602623TE</t>
  </si>
  <si>
    <t>34600047TE</t>
  </si>
  <si>
    <t>34601399TE</t>
  </si>
  <si>
    <t>34602130TE</t>
  </si>
  <si>
    <t>34600078TE</t>
  </si>
  <si>
    <t>34600048TE</t>
  </si>
  <si>
    <t>34600084TE</t>
  </si>
  <si>
    <t>34600064TE</t>
  </si>
  <si>
    <t>34600074TE</t>
  </si>
  <si>
    <t>34600187TE</t>
  </si>
  <si>
    <t>34600114TE</t>
  </si>
  <si>
    <t>34601110TE</t>
  </si>
  <si>
    <t>34600106TE</t>
  </si>
  <si>
    <t>34601028TE</t>
  </si>
  <si>
    <t>34601405TE</t>
  </si>
  <si>
    <t>34602333TE</t>
  </si>
  <si>
    <t>34601008TE</t>
  </si>
  <si>
    <t>14955036TE</t>
  </si>
  <si>
    <t>39423157TE</t>
  </si>
  <si>
    <t>32500141TE</t>
  </si>
  <si>
    <t>34600951TE</t>
  </si>
  <si>
    <t>34601887TE</t>
  </si>
  <si>
    <t>40033004TE</t>
  </si>
  <si>
    <t>46755002TE</t>
  </si>
  <si>
    <t>ED14158KP-TE</t>
  </si>
  <si>
    <t>ED1940-TE</t>
  </si>
  <si>
    <t>34600066TE</t>
  </si>
  <si>
    <t>34601619TE</t>
  </si>
  <si>
    <t>34900021TE</t>
  </si>
  <si>
    <t>29704597TE</t>
  </si>
  <si>
    <t>46733006TE</t>
  </si>
  <si>
    <t>29700082TE</t>
  </si>
  <si>
    <t>29700098TE</t>
  </si>
  <si>
    <t>14733139TE</t>
  </si>
  <si>
    <t>10533031TE</t>
  </si>
  <si>
    <t>Таможенная стоимость</t>
  </si>
  <si>
    <t>% пошлины</t>
  </si>
  <si>
    <t>Сумма пошлины</t>
  </si>
  <si>
    <t>% акциза</t>
  </si>
  <si>
    <t>Сумма акциза</t>
  </si>
  <si>
    <t>Ставка НДС</t>
  </si>
  <si>
    <t xml:space="preserve">Сумма НДС 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</si>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</sst>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  <scheme val="minor"/>
    </font>
    <font>
      <b/>
      <sz val="16"/>
      <color rgb="FF080000"/>
      <name val="Times New Roman"/>
      <family val="1"/>
      <charset val="204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">
    <xf numFmtId="0" fontId="0" fillId="0" borderId="0" xfId="0"/>
    <xf numFmtId="0" fontId="1" fillId="0" borderId="0" xfId="1" applyFont="1"/>
    <xf numFmtId="0" fontId="0" fillId="0" borderId="2" xfId="1" applyFont="1" applyBorder="1"/>
    <xf numFmtId="0" fontId="0" fillId="2" borderId="1" xfId="1" applyFont="1" applyFill="1" applyBorder="1" applyAlignment="1">
      <alignment horizontal="center" vertical="top" wrapText="1"/>
    </xf>
    <xf numFmtId="0" fontId="0" fillId="0" borderId="2" xfId="1" applyFont="1" applyBorder="1" applyAlignment="1">
      <alignment horizontal="center" vertical="top"/>
    </xf>
    <xf numFmtId="0" fontId="2" fillId="0" borderId="2" xfId="1" applyFont="1" applyBorder="1"/>
    <xf numFmtId="0" fontId="0" fillId="0" borderId="3" xfId="1" applyFont="1" applyBorder="1" applyAlignment="1">
      <alignment horizontal="center" vertical="top"/>
    </xf>
    <xf numFmtId="0" fontId="0" fillId="0" borderId="3" xfId="1" applyFont="1" applyBorder="1"/>
    <xf numFmtId="0" fontId="2" fillId="0" borderId="3" xfId="1" applyFont="1" applyBorder="1"/>
    <xf numFmtId="0" fontId="0" fillId="3" borderId="0" xfId="0" applyFill="1"/>
    <xf numFmtId="0" fontId="5" fillId="4" borderId="4" xfId="2" applyNumberFormat="1" applyFont="1" applyFill="1" applyBorder="1" applyAlignment="1">
      <alignment horizontal="left" vertical="top"/>
    </xf>
    <xf numFmtId="4" fontId="6" fillId="4" borderId="4" xfId="2" applyNumberFormat="1" applyFont="1" applyFill="1" applyBorder="1" applyAlignment="1">
      <alignment horizontal="right" vertical="top"/>
    </xf>
    <xf numFmtId="2" fontId="6" fillId="4" borderId="4" xfId="2" applyNumberFormat="1" applyFont="1" applyFill="1" applyBorder="1" applyAlignment="1">
      <alignment horizontal="right" vertical="top"/>
    </xf>
    <xf numFmtId="0" fontId="6" fillId="4" borderId="4" xfId="2" applyNumberFormat="1" applyFont="1" applyFill="1" applyBorder="1" applyAlignment="1">
      <alignment horizontal="left" vertical="top"/>
    </xf>
    <xf numFmtId="4" fontId="0" fillId="0" borderId="0" xfId="0" applyNumberFormat="1"/>
  </cellXfs>
  <cellStyles count="3">
    <cellStyle name="Normal" xfId="1" xr:uid="{00000000-0005-0000-0000-000000000000}"/>
    <cellStyle name="Обычный" xfId="0" builtinId="0"/>
    <cellStyle name="Обычный_Sheet1" xfId="2" xr:uid="{6FA9C243-EFD4-4414-A909-70296A04A754}"/>
  </cellStyles>
  <dxfs count="1">
    <dxf>
      <fill>
        <patternFill patternType="solid">
          <fgColor rgb="FFCCFFCC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7"/>
  <sheetViews>
    <sheetView tabSelected="1" topLeftCell="A94" workbookViewId="0">
      <selection activeCell="G117" sqref="G117:M117"/>
    </sheetView>
  </sheetViews>
  <sheetFormatPr defaultRowHeight="13.8" x14ac:dyDescent="0.3"/>
  <cols>
    <col min="1" max="1" width="11.6640625" customWidth="1"/>
    <col min="2" max="3" width="15.6640625" customWidth="1"/>
    <col min="4" max="4" width="39.109375" customWidth="1"/>
    <col min="5" max="7" width="11.33203125" customWidth="1"/>
    <col min="8" max="12" width="11.6640625" customWidth="1"/>
    <col min="13" max="13" width="9.88671875" bestFit="1" customWidth="1"/>
  </cols>
  <sheetData>
    <row r="2" spans="1:13" ht="20.399999999999999" x14ac:dyDescent="0.35">
      <c r="A2" s="1" t="s">
        <v>0</v>
      </c>
    </row>
    <row r="4" spans="1:13" ht="27.6" x14ac:dyDescent="0.3">
      <c r="A4" s="3" t="s">
        <v>1</v>
      </c>
      <c r="B4" s="3" t="s">
        <v>2</v>
      </c>
      <c r="C4" s="3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12</v>
      </c>
      <c r="M4" s="3" t="s">
        <v>11</v>
      </c>
    </row>
    <row r="5" spans="1:13" x14ac:dyDescent="0.3">
      <c r="A5" s="4" t="s">
        <v>13</v>
      </c>
      <c r="B5" s="2" t="s">
        <v>14</v>
      </c>
      <c r="C5" s="2" t="s">
        <v>212</v>
      </c>
      <c r="D5" s="2" t="s">
        <v>15</v>
      </c>
      <c r="E5" s="2">
        <v>0.14699999999999999</v>
      </c>
      <c r="F5" s="2">
        <v>0.14000000000000001</v>
      </c>
      <c r="G5" s="2">
        <v>3</v>
      </c>
      <c r="H5" s="2">
        <v>2</v>
      </c>
      <c r="I5" s="2">
        <v>6</v>
      </c>
      <c r="J5" s="2">
        <v>307.27</v>
      </c>
      <c r="K5" s="2">
        <v>30.73</v>
      </c>
      <c r="L5" s="2">
        <v>67.599999999999994</v>
      </c>
      <c r="M5" s="2">
        <v>10</v>
      </c>
    </row>
    <row r="6" spans="1:13" x14ac:dyDescent="0.3">
      <c r="A6" s="4" t="s">
        <v>13</v>
      </c>
      <c r="B6" s="2" t="s">
        <v>16</v>
      </c>
      <c r="C6" s="2" t="s">
        <v>213</v>
      </c>
      <c r="D6" s="2" t="s">
        <v>17</v>
      </c>
      <c r="E6" s="2">
        <v>4.2110000000000003</v>
      </c>
      <c r="F6" s="2">
        <v>4</v>
      </c>
      <c r="G6" s="2">
        <v>2</v>
      </c>
      <c r="H6" s="2">
        <v>100</v>
      </c>
      <c r="I6" s="2">
        <v>200</v>
      </c>
      <c r="J6" s="2">
        <v>10237.94</v>
      </c>
      <c r="K6" s="2">
        <v>1023.79</v>
      </c>
      <c r="L6" s="2">
        <v>2252.35</v>
      </c>
      <c r="M6" s="2">
        <v>10</v>
      </c>
    </row>
    <row r="7" spans="1:13" x14ac:dyDescent="0.3">
      <c r="A7" s="4" t="s">
        <v>13</v>
      </c>
      <c r="B7" s="2" t="s">
        <v>18</v>
      </c>
      <c r="C7" s="2" t="s">
        <v>214</v>
      </c>
      <c r="D7" s="2" t="s">
        <v>17</v>
      </c>
      <c r="E7" s="2">
        <v>4.1050000000000004</v>
      </c>
      <c r="F7" s="2">
        <v>3.9</v>
      </c>
      <c r="G7" s="2">
        <v>0.55000000000000004</v>
      </c>
      <c r="H7" s="2">
        <v>100</v>
      </c>
      <c r="I7" s="2">
        <v>55</v>
      </c>
      <c r="J7" s="2">
        <v>2833.65</v>
      </c>
      <c r="K7" s="2">
        <v>283.37</v>
      </c>
      <c r="L7" s="2">
        <v>623.4</v>
      </c>
      <c r="M7" s="2">
        <v>10</v>
      </c>
    </row>
    <row r="8" spans="1:13" x14ac:dyDescent="0.3">
      <c r="A8" s="4" t="s">
        <v>13</v>
      </c>
      <c r="B8" s="2" t="s">
        <v>19</v>
      </c>
      <c r="C8" s="2" t="s">
        <v>215</v>
      </c>
      <c r="D8" s="2" t="s">
        <v>20</v>
      </c>
      <c r="E8" s="2">
        <v>7.5789999999999997</v>
      </c>
      <c r="F8" s="2">
        <v>7.2</v>
      </c>
      <c r="G8" s="2">
        <v>1.9</v>
      </c>
      <c r="H8" s="2">
        <v>60</v>
      </c>
      <c r="I8" s="2">
        <v>114</v>
      </c>
      <c r="J8" s="2">
        <v>5867.64</v>
      </c>
      <c r="K8" s="2">
        <v>586.76</v>
      </c>
      <c r="L8" s="2">
        <v>1290.8800000000001</v>
      </c>
      <c r="M8" s="2">
        <v>10</v>
      </c>
    </row>
    <row r="9" spans="1:13" x14ac:dyDescent="0.3">
      <c r="A9" s="4" t="s">
        <v>13</v>
      </c>
      <c r="B9" s="2" t="s">
        <v>21</v>
      </c>
      <c r="C9" s="2" t="s">
        <v>216</v>
      </c>
      <c r="D9" s="2" t="s">
        <v>22</v>
      </c>
      <c r="E9" s="2">
        <v>29.158000000000001</v>
      </c>
      <c r="F9" s="2">
        <v>27.7</v>
      </c>
      <c r="G9" s="2">
        <v>3.3</v>
      </c>
      <c r="H9" s="2">
        <v>50</v>
      </c>
      <c r="I9" s="2">
        <v>165</v>
      </c>
      <c r="J9" s="2">
        <v>8605.1</v>
      </c>
      <c r="K9" s="2">
        <v>860.51</v>
      </c>
      <c r="L9" s="2">
        <v>1893.12</v>
      </c>
      <c r="M9" s="2">
        <v>10</v>
      </c>
    </row>
    <row r="10" spans="1:13" x14ac:dyDescent="0.3">
      <c r="A10" s="4" t="s">
        <v>13</v>
      </c>
      <c r="B10" s="2" t="s">
        <v>23</v>
      </c>
      <c r="C10" s="2" t="s">
        <v>217</v>
      </c>
      <c r="D10" s="2" t="s">
        <v>24</v>
      </c>
      <c r="E10" s="2">
        <v>24.841999999999999</v>
      </c>
      <c r="F10" s="2">
        <v>23.6</v>
      </c>
      <c r="G10" s="2">
        <v>3.5</v>
      </c>
      <c r="H10" s="2">
        <v>40</v>
      </c>
      <c r="I10" s="2">
        <v>140</v>
      </c>
      <c r="J10" s="2">
        <v>7301.93</v>
      </c>
      <c r="K10" s="2">
        <v>730.19</v>
      </c>
      <c r="L10" s="2">
        <v>1606.42</v>
      </c>
      <c r="M10" s="2">
        <v>10</v>
      </c>
    </row>
    <row r="11" spans="1:13" x14ac:dyDescent="0.3">
      <c r="A11" s="4" t="s">
        <v>13</v>
      </c>
      <c r="B11" s="2" t="s">
        <v>25</v>
      </c>
      <c r="C11" s="2" t="s">
        <v>218</v>
      </c>
      <c r="D11" s="2" t="s">
        <v>26</v>
      </c>
      <c r="E11" s="2">
        <v>3.2839999999999998</v>
      </c>
      <c r="F11" s="2">
        <v>3.12</v>
      </c>
      <c r="G11" s="2">
        <v>2.9</v>
      </c>
      <c r="H11" s="2">
        <v>30</v>
      </c>
      <c r="I11" s="2">
        <v>87</v>
      </c>
      <c r="J11" s="2">
        <v>4462.4799999999996</v>
      </c>
      <c r="K11" s="2">
        <v>446.25</v>
      </c>
      <c r="L11" s="2">
        <v>981.75</v>
      </c>
      <c r="M11" s="2">
        <v>10</v>
      </c>
    </row>
    <row r="12" spans="1:13" x14ac:dyDescent="0.3">
      <c r="A12" s="4" t="s">
        <v>13</v>
      </c>
      <c r="B12" s="2" t="s">
        <v>27</v>
      </c>
      <c r="C12" s="2" t="s">
        <v>219</v>
      </c>
      <c r="D12" s="2" t="s">
        <v>28</v>
      </c>
      <c r="E12" s="2">
        <v>22.63</v>
      </c>
      <c r="F12" s="2">
        <v>21.5</v>
      </c>
      <c r="G12" s="2">
        <v>9.5</v>
      </c>
      <c r="H12" s="2">
        <v>20</v>
      </c>
      <c r="I12" s="2">
        <v>190</v>
      </c>
      <c r="J12" s="2">
        <v>9841.23</v>
      </c>
      <c r="K12" s="2">
        <v>984.12</v>
      </c>
      <c r="L12" s="2">
        <v>2165.0700000000002</v>
      </c>
      <c r="M12" s="2">
        <v>10</v>
      </c>
    </row>
    <row r="13" spans="1:13" x14ac:dyDescent="0.3">
      <c r="A13" s="4" t="s">
        <v>13</v>
      </c>
      <c r="B13" s="2" t="s">
        <v>29</v>
      </c>
      <c r="C13" s="2" t="s">
        <v>220</v>
      </c>
      <c r="D13" s="2" t="s">
        <v>30</v>
      </c>
      <c r="E13" s="2">
        <v>30.8</v>
      </c>
      <c r="F13" s="2">
        <v>29.26</v>
      </c>
      <c r="G13" s="2">
        <v>11</v>
      </c>
      <c r="H13" s="2">
        <v>20</v>
      </c>
      <c r="I13" s="2">
        <v>220</v>
      </c>
      <c r="J13" s="2">
        <v>11423.53</v>
      </c>
      <c r="K13" s="2">
        <v>1142.3499999999999</v>
      </c>
      <c r="L13" s="2">
        <v>2513.1799999999998</v>
      </c>
      <c r="M13" s="2">
        <v>10</v>
      </c>
    </row>
    <row r="14" spans="1:13" x14ac:dyDescent="0.3">
      <c r="A14" s="4" t="s">
        <v>13</v>
      </c>
      <c r="B14" s="2" t="s">
        <v>31</v>
      </c>
      <c r="C14" s="2" t="s">
        <v>221</v>
      </c>
      <c r="D14" s="2" t="s">
        <v>30</v>
      </c>
      <c r="E14" s="2">
        <v>42.253</v>
      </c>
      <c r="F14" s="2">
        <v>40.14</v>
      </c>
      <c r="G14" s="2">
        <v>12.4</v>
      </c>
      <c r="H14" s="2">
        <v>20</v>
      </c>
      <c r="I14" s="2">
        <v>248</v>
      </c>
      <c r="J14" s="2">
        <v>12924.01</v>
      </c>
      <c r="K14" s="2">
        <v>1292.4000000000001</v>
      </c>
      <c r="L14" s="2">
        <v>2843.28</v>
      </c>
      <c r="M14" s="2">
        <v>10</v>
      </c>
    </row>
    <row r="15" spans="1:13" x14ac:dyDescent="0.3">
      <c r="A15" s="4" t="s">
        <v>13</v>
      </c>
      <c r="B15" s="2" t="s">
        <v>32</v>
      </c>
      <c r="C15" s="2" t="s">
        <v>222</v>
      </c>
      <c r="D15" s="2" t="s">
        <v>33</v>
      </c>
      <c r="E15" s="2">
        <v>31.074000000000002</v>
      </c>
      <c r="F15" s="2">
        <v>29.52</v>
      </c>
      <c r="G15" s="2">
        <v>9.6</v>
      </c>
      <c r="H15" s="2">
        <v>20</v>
      </c>
      <c r="I15" s="2">
        <v>192</v>
      </c>
      <c r="J15" s="2">
        <v>9995.56</v>
      </c>
      <c r="K15" s="2">
        <v>999.56</v>
      </c>
      <c r="L15" s="2">
        <v>2199.02</v>
      </c>
      <c r="M15" s="2">
        <v>10</v>
      </c>
    </row>
    <row r="16" spans="1:13" x14ac:dyDescent="0.3">
      <c r="A16" s="4" t="s">
        <v>13</v>
      </c>
      <c r="B16" s="2" t="s">
        <v>34</v>
      </c>
      <c r="C16" s="2" t="s">
        <v>223</v>
      </c>
      <c r="D16" s="2" t="s">
        <v>35</v>
      </c>
      <c r="E16" s="2">
        <v>30.24</v>
      </c>
      <c r="F16" s="2">
        <v>28.728000000000002</v>
      </c>
      <c r="G16" s="2">
        <v>11.5</v>
      </c>
      <c r="H16" s="2">
        <v>18</v>
      </c>
      <c r="I16" s="2">
        <v>207</v>
      </c>
      <c r="J16" s="2">
        <v>10756.29</v>
      </c>
      <c r="K16" s="2">
        <v>1075.6300000000001</v>
      </c>
      <c r="L16" s="2">
        <v>2366.38</v>
      </c>
      <c r="M16" s="2">
        <v>10</v>
      </c>
    </row>
    <row r="17" spans="1:13" x14ac:dyDescent="0.3">
      <c r="A17" s="4" t="s">
        <v>13</v>
      </c>
      <c r="B17" s="2" t="s">
        <v>36</v>
      </c>
      <c r="C17" s="2" t="s">
        <v>224</v>
      </c>
      <c r="D17" s="2" t="s">
        <v>37</v>
      </c>
      <c r="E17" s="2">
        <v>9.2840000000000007</v>
      </c>
      <c r="F17" s="2">
        <v>8.82</v>
      </c>
      <c r="G17" s="2">
        <v>8.1999999999999993</v>
      </c>
      <c r="H17" s="2">
        <v>12</v>
      </c>
      <c r="I17" s="2">
        <v>98.4</v>
      </c>
      <c r="J17" s="2">
        <v>5081.66</v>
      </c>
      <c r="K17" s="2">
        <v>508.17</v>
      </c>
      <c r="L17" s="2">
        <v>1117.97</v>
      </c>
      <c r="M17" s="2">
        <v>10</v>
      </c>
    </row>
    <row r="18" spans="1:13" x14ac:dyDescent="0.3">
      <c r="A18" s="4" t="s">
        <v>13</v>
      </c>
      <c r="B18" s="2" t="s">
        <v>38</v>
      </c>
      <c r="C18" s="2" t="s">
        <v>225</v>
      </c>
      <c r="D18" s="2" t="s">
        <v>39</v>
      </c>
      <c r="E18" s="2">
        <v>0.13900000000000001</v>
      </c>
      <c r="F18" s="2">
        <v>0.13200000000000001</v>
      </c>
      <c r="G18" s="2">
        <v>1.59</v>
      </c>
      <c r="H18" s="2">
        <v>12</v>
      </c>
      <c r="I18" s="2">
        <v>19.079999999999998</v>
      </c>
      <c r="J18" s="2">
        <v>975.07</v>
      </c>
      <c r="K18" s="2">
        <v>97.51</v>
      </c>
      <c r="L18" s="2">
        <v>214.52</v>
      </c>
      <c r="M18" s="2">
        <v>10</v>
      </c>
    </row>
    <row r="19" spans="1:13" x14ac:dyDescent="0.3">
      <c r="A19" s="4" t="s">
        <v>13</v>
      </c>
      <c r="B19" s="2" t="s">
        <v>40</v>
      </c>
      <c r="C19" s="2" t="s">
        <v>226</v>
      </c>
      <c r="D19" s="2" t="s">
        <v>41</v>
      </c>
      <c r="E19" s="2">
        <v>11.47</v>
      </c>
      <c r="F19" s="2">
        <v>10.9</v>
      </c>
      <c r="G19" s="2">
        <v>5.8</v>
      </c>
      <c r="H19" s="2">
        <v>10</v>
      </c>
      <c r="I19" s="2">
        <v>58</v>
      </c>
      <c r="J19" s="2">
        <v>3032.37</v>
      </c>
      <c r="K19" s="2">
        <v>303.24</v>
      </c>
      <c r="L19" s="2">
        <v>667.12</v>
      </c>
      <c r="M19" s="2">
        <v>10</v>
      </c>
    </row>
    <row r="20" spans="1:13" x14ac:dyDescent="0.3">
      <c r="A20" s="4" t="s">
        <v>13</v>
      </c>
      <c r="B20" s="2" t="s">
        <v>42</v>
      </c>
      <c r="C20" s="2" t="s">
        <v>227</v>
      </c>
      <c r="D20" s="2" t="s">
        <v>43</v>
      </c>
      <c r="E20" s="2">
        <v>5.7370000000000001</v>
      </c>
      <c r="F20" s="2">
        <v>5.45</v>
      </c>
      <c r="G20" s="2">
        <v>2.7</v>
      </c>
      <c r="H20" s="2">
        <v>10</v>
      </c>
      <c r="I20" s="2">
        <v>27</v>
      </c>
      <c r="J20" s="2">
        <v>1414.08</v>
      </c>
      <c r="K20" s="2">
        <v>141.41</v>
      </c>
      <c r="L20" s="2">
        <v>311.10000000000002</v>
      </c>
      <c r="M20" s="2">
        <v>10</v>
      </c>
    </row>
    <row r="21" spans="1:13" x14ac:dyDescent="0.3">
      <c r="A21" s="4" t="s">
        <v>13</v>
      </c>
      <c r="B21" s="2" t="s">
        <v>44</v>
      </c>
      <c r="C21" s="2" t="s">
        <v>228</v>
      </c>
      <c r="D21" s="2" t="s">
        <v>43</v>
      </c>
      <c r="E21" s="2">
        <v>3.3370000000000002</v>
      </c>
      <c r="F21" s="2">
        <v>3.17</v>
      </c>
      <c r="G21" s="2">
        <v>3.35</v>
      </c>
      <c r="H21" s="2">
        <v>10</v>
      </c>
      <c r="I21" s="2">
        <v>33.5</v>
      </c>
      <c r="J21" s="2">
        <v>1731.13</v>
      </c>
      <c r="K21" s="2">
        <v>173.11</v>
      </c>
      <c r="L21" s="2">
        <v>380.85</v>
      </c>
      <c r="M21" s="2">
        <v>10</v>
      </c>
    </row>
    <row r="22" spans="1:13" x14ac:dyDescent="0.3">
      <c r="A22" s="4" t="s">
        <v>13</v>
      </c>
      <c r="B22" s="2" t="s">
        <v>45</v>
      </c>
      <c r="C22" s="2" t="s">
        <v>229</v>
      </c>
      <c r="D22" s="2" t="s">
        <v>46</v>
      </c>
      <c r="E22" s="2">
        <v>2.6779999999999999</v>
      </c>
      <c r="F22" s="2">
        <v>2.544</v>
      </c>
      <c r="G22" s="2">
        <v>1.35</v>
      </c>
      <c r="H22" s="2">
        <v>8</v>
      </c>
      <c r="I22" s="2">
        <v>10.8</v>
      </c>
      <c r="J22" s="2">
        <v>568</v>
      </c>
      <c r="K22" s="2">
        <v>56.8</v>
      </c>
      <c r="L22" s="2">
        <v>124.96</v>
      </c>
      <c r="M22" s="2">
        <v>10</v>
      </c>
    </row>
    <row r="23" spans="1:13" x14ac:dyDescent="0.3">
      <c r="A23" s="4" t="s">
        <v>13</v>
      </c>
      <c r="B23" s="2" t="s">
        <v>47</v>
      </c>
      <c r="C23" s="2" t="s">
        <v>230</v>
      </c>
      <c r="D23" s="2" t="s">
        <v>48</v>
      </c>
      <c r="E23" s="2">
        <v>12.715999999999999</v>
      </c>
      <c r="F23" s="2">
        <v>12.08</v>
      </c>
      <c r="G23" s="2">
        <v>7.25</v>
      </c>
      <c r="H23" s="2">
        <v>8</v>
      </c>
      <c r="I23" s="2">
        <v>58</v>
      </c>
      <c r="J23" s="2">
        <v>3040.07</v>
      </c>
      <c r="K23" s="2">
        <v>304.01</v>
      </c>
      <c r="L23" s="2">
        <v>668.82</v>
      </c>
      <c r="M23" s="2">
        <v>10</v>
      </c>
    </row>
    <row r="24" spans="1:13" x14ac:dyDescent="0.3">
      <c r="A24" s="4" t="s">
        <v>13</v>
      </c>
      <c r="B24" s="2" t="s">
        <v>49</v>
      </c>
      <c r="C24" s="2" t="s">
        <v>231</v>
      </c>
      <c r="D24" s="2" t="s">
        <v>50</v>
      </c>
      <c r="E24" s="2">
        <v>3.0819999999999999</v>
      </c>
      <c r="F24" s="2">
        <v>2.9279999999999999</v>
      </c>
      <c r="G24" s="2">
        <v>7.5</v>
      </c>
      <c r="H24" s="2">
        <v>6</v>
      </c>
      <c r="I24" s="2">
        <v>45</v>
      </c>
      <c r="J24" s="2">
        <v>2316.73</v>
      </c>
      <c r="K24" s="2">
        <v>231.67</v>
      </c>
      <c r="L24" s="2">
        <v>509.68</v>
      </c>
      <c r="M24" s="2">
        <v>10</v>
      </c>
    </row>
    <row r="25" spans="1:13" x14ac:dyDescent="0.3">
      <c r="A25" s="4" t="s">
        <v>13</v>
      </c>
      <c r="B25" s="2" t="s">
        <v>51</v>
      </c>
      <c r="C25" s="2" t="s">
        <v>232</v>
      </c>
      <c r="D25" s="2" t="s">
        <v>52</v>
      </c>
      <c r="E25" s="2">
        <v>9.4109999999999996</v>
      </c>
      <c r="F25" s="2">
        <v>8.94</v>
      </c>
      <c r="G25" s="2">
        <v>11</v>
      </c>
      <c r="H25" s="2">
        <v>6</v>
      </c>
      <c r="I25" s="2">
        <v>66</v>
      </c>
      <c r="J25" s="2">
        <v>3428.12</v>
      </c>
      <c r="K25" s="2">
        <v>342.81</v>
      </c>
      <c r="L25" s="2">
        <v>754.19</v>
      </c>
      <c r="M25" s="2">
        <v>10</v>
      </c>
    </row>
    <row r="26" spans="1:13" x14ac:dyDescent="0.3">
      <c r="A26" s="4" t="s">
        <v>13</v>
      </c>
      <c r="B26" s="2" t="s">
        <v>53</v>
      </c>
      <c r="C26" s="2" t="s">
        <v>233</v>
      </c>
      <c r="D26" s="2" t="s">
        <v>54</v>
      </c>
      <c r="E26" s="2">
        <v>0.16800000000000001</v>
      </c>
      <c r="F26" s="2">
        <v>0.16</v>
      </c>
      <c r="G26" s="2">
        <v>1.7</v>
      </c>
      <c r="H26" s="2">
        <v>4</v>
      </c>
      <c r="I26" s="2">
        <v>6.8</v>
      </c>
      <c r="J26" s="2">
        <v>348.24</v>
      </c>
      <c r="K26" s="2">
        <v>34.82</v>
      </c>
      <c r="L26" s="2">
        <v>76.61</v>
      </c>
      <c r="M26" s="2">
        <v>10</v>
      </c>
    </row>
    <row r="27" spans="1:13" x14ac:dyDescent="0.3">
      <c r="A27" s="4" t="s">
        <v>13</v>
      </c>
      <c r="B27" s="2" t="s">
        <v>55</v>
      </c>
      <c r="C27" s="2" t="s">
        <v>234</v>
      </c>
      <c r="D27" s="2" t="s">
        <v>56</v>
      </c>
      <c r="E27" s="2">
        <v>7.4109999999999996</v>
      </c>
      <c r="F27" s="2">
        <v>7.04</v>
      </c>
      <c r="G27" s="2">
        <v>12.25</v>
      </c>
      <c r="H27" s="2">
        <v>4</v>
      </c>
      <c r="I27" s="2">
        <v>49</v>
      </c>
      <c r="J27" s="2">
        <v>2547.7399999999998</v>
      </c>
      <c r="K27" s="2">
        <v>254.77</v>
      </c>
      <c r="L27" s="2">
        <v>560.5</v>
      </c>
      <c r="M27" s="2">
        <v>10</v>
      </c>
    </row>
    <row r="28" spans="1:13" x14ac:dyDescent="0.3">
      <c r="A28" s="4" t="s">
        <v>13</v>
      </c>
      <c r="B28" s="2" t="s">
        <v>57</v>
      </c>
      <c r="C28" s="2" t="s">
        <v>235</v>
      </c>
      <c r="D28" s="2" t="s">
        <v>58</v>
      </c>
      <c r="E28" s="2">
        <v>2.2320000000000002</v>
      </c>
      <c r="F28" s="2">
        <v>2.12</v>
      </c>
      <c r="G28" s="2">
        <v>2.4</v>
      </c>
      <c r="H28" s="2">
        <v>4</v>
      </c>
      <c r="I28" s="2">
        <v>9.6</v>
      </c>
      <c r="J28" s="2">
        <v>503.97</v>
      </c>
      <c r="K28" s="2">
        <v>50.4</v>
      </c>
      <c r="L28" s="2">
        <v>110.87</v>
      </c>
      <c r="M28" s="2">
        <v>10</v>
      </c>
    </row>
    <row r="29" spans="1:13" x14ac:dyDescent="0.3">
      <c r="A29" s="4" t="s">
        <v>13</v>
      </c>
      <c r="B29" s="2" t="s">
        <v>59</v>
      </c>
      <c r="C29" s="2" t="s">
        <v>236</v>
      </c>
      <c r="D29" s="2" t="s">
        <v>60</v>
      </c>
      <c r="E29" s="2">
        <v>0.48799999999999999</v>
      </c>
      <c r="F29" s="2">
        <v>0.46400000000000002</v>
      </c>
      <c r="G29" s="2">
        <v>1.8</v>
      </c>
      <c r="H29" s="2">
        <v>4</v>
      </c>
      <c r="I29" s="2">
        <v>7.2</v>
      </c>
      <c r="J29" s="2">
        <v>370.65</v>
      </c>
      <c r="K29" s="2">
        <v>37.07</v>
      </c>
      <c r="L29" s="2">
        <v>81.540000000000006</v>
      </c>
      <c r="M29" s="2">
        <v>10</v>
      </c>
    </row>
    <row r="30" spans="1:13" x14ac:dyDescent="0.3">
      <c r="A30" s="4" t="s">
        <v>13</v>
      </c>
      <c r="B30" s="2" t="s">
        <v>61</v>
      </c>
      <c r="C30" s="2" t="s">
        <v>237</v>
      </c>
      <c r="D30" s="2" t="s">
        <v>62</v>
      </c>
      <c r="E30" s="2">
        <v>2.56</v>
      </c>
      <c r="F30" s="2">
        <v>2.4319999999999999</v>
      </c>
      <c r="G30" s="2">
        <v>13</v>
      </c>
      <c r="H30" s="2">
        <v>4</v>
      </c>
      <c r="I30" s="2">
        <v>52</v>
      </c>
      <c r="J30" s="2">
        <v>2670.92</v>
      </c>
      <c r="K30" s="2">
        <v>267.08999999999997</v>
      </c>
      <c r="L30" s="2">
        <v>587.6</v>
      </c>
      <c r="M30" s="2">
        <v>10</v>
      </c>
    </row>
    <row r="31" spans="1:13" x14ac:dyDescent="0.3">
      <c r="A31" s="4" t="s">
        <v>13</v>
      </c>
      <c r="B31" s="2" t="s">
        <v>63</v>
      </c>
      <c r="C31" s="2" t="s">
        <v>238</v>
      </c>
      <c r="D31" s="2" t="s">
        <v>64</v>
      </c>
      <c r="E31" s="2">
        <v>1.0529999999999999</v>
      </c>
      <c r="F31" s="2">
        <v>1</v>
      </c>
      <c r="G31" s="2">
        <v>3</v>
      </c>
      <c r="H31" s="2">
        <v>4</v>
      </c>
      <c r="I31" s="2">
        <v>12</v>
      </c>
      <c r="J31" s="2">
        <v>619.22</v>
      </c>
      <c r="K31" s="2">
        <v>61.92</v>
      </c>
      <c r="L31" s="2">
        <v>136.22999999999999</v>
      </c>
      <c r="M31" s="2">
        <v>10</v>
      </c>
    </row>
    <row r="32" spans="1:13" x14ac:dyDescent="0.3">
      <c r="A32" s="4" t="s">
        <v>13</v>
      </c>
      <c r="B32" s="2" t="s">
        <v>65</v>
      </c>
      <c r="C32" s="2" t="s">
        <v>239</v>
      </c>
      <c r="D32" s="2" t="s">
        <v>66</v>
      </c>
      <c r="E32" s="2">
        <v>2.2389999999999999</v>
      </c>
      <c r="F32" s="2">
        <v>2.1269999999999998</v>
      </c>
      <c r="G32" s="2">
        <v>12.3</v>
      </c>
      <c r="H32" s="2">
        <v>3</v>
      </c>
      <c r="I32" s="2">
        <v>36.9</v>
      </c>
      <c r="J32" s="2">
        <v>1897.94</v>
      </c>
      <c r="K32" s="2">
        <v>189.79</v>
      </c>
      <c r="L32" s="2">
        <v>417.55</v>
      </c>
      <c r="M32" s="2">
        <v>10</v>
      </c>
    </row>
    <row r="33" spans="1:13" x14ac:dyDescent="0.3">
      <c r="A33" s="4" t="s">
        <v>13</v>
      </c>
      <c r="B33" s="2" t="s">
        <v>67</v>
      </c>
      <c r="C33" s="2" t="s">
        <v>240</v>
      </c>
      <c r="D33" s="2" t="s">
        <v>68</v>
      </c>
      <c r="E33" s="2">
        <v>3.6779999999999999</v>
      </c>
      <c r="F33" s="2">
        <v>3.4940000000000002</v>
      </c>
      <c r="G33" s="2">
        <v>16</v>
      </c>
      <c r="H33" s="2">
        <v>2</v>
      </c>
      <c r="I33" s="2">
        <v>32</v>
      </c>
      <c r="J33" s="2">
        <v>1656.65</v>
      </c>
      <c r="K33" s="2">
        <v>165.67</v>
      </c>
      <c r="L33" s="2">
        <v>364.46</v>
      </c>
      <c r="M33" s="2">
        <v>10</v>
      </c>
    </row>
    <row r="34" spans="1:13" x14ac:dyDescent="0.3">
      <c r="A34" s="4" t="s">
        <v>13</v>
      </c>
      <c r="B34" s="2" t="s">
        <v>69</v>
      </c>
      <c r="C34" s="2" t="s">
        <v>241</v>
      </c>
      <c r="D34" s="2" t="s">
        <v>70</v>
      </c>
      <c r="E34" s="2">
        <v>0.41099999999999998</v>
      </c>
      <c r="F34" s="2">
        <v>0.39</v>
      </c>
      <c r="G34" s="2">
        <v>2.5</v>
      </c>
      <c r="H34" s="2">
        <v>2</v>
      </c>
      <c r="I34" s="2">
        <v>5</v>
      </c>
      <c r="J34" s="2">
        <v>257.83999999999997</v>
      </c>
      <c r="K34" s="2">
        <v>25.78</v>
      </c>
      <c r="L34" s="2">
        <v>56.72</v>
      </c>
      <c r="M34" s="2">
        <v>10</v>
      </c>
    </row>
    <row r="35" spans="1:13" x14ac:dyDescent="0.3">
      <c r="A35" s="4" t="s">
        <v>13</v>
      </c>
      <c r="B35" s="2" t="s">
        <v>71</v>
      </c>
      <c r="C35" s="2" t="s">
        <v>242</v>
      </c>
      <c r="D35" s="2" t="s">
        <v>72</v>
      </c>
      <c r="E35" s="2">
        <v>20.033999999999999</v>
      </c>
      <c r="F35" s="2">
        <v>19.032</v>
      </c>
      <c r="G35" s="2">
        <v>0.71</v>
      </c>
      <c r="H35" s="2">
        <v>156</v>
      </c>
      <c r="I35" s="2">
        <v>110.76</v>
      </c>
      <c r="J35" s="2">
        <v>5779.22</v>
      </c>
      <c r="K35" s="2">
        <v>577.91999999999996</v>
      </c>
      <c r="L35" s="2">
        <v>1271.43</v>
      </c>
      <c r="M35" s="2">
        <v>10</v>
      </c>
    </row>
    <row r="36" spans="1:13" x14ac:dyDescent="0.3">
      <c r="A36" s="4" t="s">
        <v>13</v>
      </c>
      <c r="B36" s="2" t="s">
        <v>73</v>
      </c>
      <c r="C36" s="2" t="s">
        <v>243</v>
      </c>
      <c r="D36" s="2" t="s">
        <v>74</v>
      </c>
      <c r="E36" s="2">
        <v>5.4740000000000002</v>
      </c>
      <c r="F36" s="2">
        <v>5.2</v>
      </c>
      <c r="G36" s="2">
        <v>2.12</v>
      </c>
      <c r="H36" s="2">
        <v>52</v>
      </c>
      <c r="I36" s="2">
        <v>110.24</v>
      </c>
      <c r="J36" s="2">
        <v>5662.65</v>
      </c>
      <c r="K36" s="2">
        <v>566.27</v>
      </c>
      <c r="L36" s="2">
        <v>1245.78</v>
      </c>
      <c r="M36" s="2">
        <v>10</v>
      </c>
    </row>
    <row r="37" spans="1:13" x14ac:dyDescent="0.3">
      <c r="A37" s="4" t="s">
        <v>13</v>
      </c>
      <c r="B37" s="2" t="s">
        <v>75</v>
      </c>
      <c r="C37" s="2" t="s">
        <v>244</v>
      </c>
      <c r="D37" s="2" t="s">
        <v>76</v>
      </c>
      <c r="E37" s="2">
        <v>11.654999999999999</v>
      </c>
      <c r="F37" s="2">
        <v>11.071999999999999</v>
      </c>
      <c r="G37" s="2">
        <v>3</v>
      </c>
      <c r="H37" s="2">
        <v>32</v>
      </c>
      <c r="I37" s="2">
        <v>96</v>
      </c>
      <c r="J37" s="2">
        <v>4973.78</v>
      </c>
      <c r="K37" s="2">
        <v>497.38</v>
      </c>
      <c r="L37" s="2">
        <v>1094.23</v>
      </c>
      <c r="M37" s="2">
        <v>10</v>
      </c>
    </row>
    <row r="38" spans="1:13" x14ac:dyDescent="0.3">
      <c r="A38" s="4" t="s">
        <v>13</v>
      </c>
      <c r="B38" s="2" t="s">
        <v>77</v>
      </c>
      <c r="C38" s="2" t="s">
        <v>245</v>
      </c>
      <c r="D38" s="2" t="s">
        <v>78</v>
      </c>
      <c r="E38" s="2">
        <v>52.357999999999997</v>
      </c>
      <c r="F38" s="2">
        <v>49.74</v>
      </c>
      <c r="G38" s="2">
        <v>11</v>
      </c>
      <c r="H38" s="2">
        <v>20</v>
      </c>
      <c r="I38" s="2">
        <v>220</v>
      </c>
      <c r="J38" s="2">
        <v>11556.82</v>
      </c>
      <c r="K38" s="2">
        <v>1155.68</v>
      </c>
      <c r="L38" s="2">
        <v>2542.5</v>
      </c>
      <c r="M38" s="2">
        <v>10</v>
      </c>
    </row>
    <row r="39" spans="1:13" x14ac:dyDescent="0.3">
      <c r="A39" s="4" t="s">
        <v>13</v>
      </c>
      <c r="B39" s="2" t="s">
        <v>79</v>
      </c>
      <c r="C39" s="2" t="s">
        <v>246</v>
      </c>
      <c r="D39" s="2" t="s">
        <v>30</v>
      </c>
      <c r="E39" s="2">
        <v>8.5259999999999998</v>
      </c>
      <c r="F39" s="2">
        <v>8.1</v>
      </c>
      <c r="G39" s="2">
        <v>2</v>
      </c>
      <c r="H39" s="2">
        <v>20</v>
      </c>
      <c r="I39" s="2">
        <v>40</v>
      </c>
      <c r="J39" s="2">
        <v>2095.1</v>
      </c>
      <c r="K39" s="2">
        <v>209.51</v>
      </c>
      <c r="L39" s="2">
        <v>460.92</v>
      </c>
      <c r="M39" s="2">
        <v>10</v>
      </c>
    </row>
    <row r="40" spans="1:13" x14ac:dyDescent="0.3">
      <c r="A40" s="6" t="s">
        <v>13</v>
      </c>
      <c r="B40" s="7" t="s">
        <v>80</v>
      </c>
      <c r="C40" s="2" t="s">
        <v>247</v>
      </c>
      <c r="D40" s="7" t="s">
        <v>37</v>
      </c>
      <c r="E40" s="7">
        <v>9.0060000000000002</v>
      </c>
      <c r="F40" s="7">
        <v>8.5559999999999992</v>
      </c>
      <c r="G40" s="7">
        <v>7.9</v>
      </c>
      <c r="H40" s="7">
        <v>12</v>
      </c>
      <c r="I40" s="7">
        <v>94.8</v>
      </c>
      <c r="J40" s="7">
        <v>4896.13</v>
      </c>
      <c r="K40" s="7">
        <v>489.61</v>
      </c>
      <c r="L40" s="7">
        <v>1077.1500000000001</v>
      </c>
      <c r="M40" s="2">
        <v>10</v>
      </c>
    </row>
    <row r="41" spans="1:13" x14ac:dyDescent="0.3">
      <c r="A41" s="4" t="s">
        <v>13</v>
      </c>
      <c r="B41" s="2" t="s">
        <v>81</v>
      </c>
      <c r="C41" s="2" t="s">
        <v>248</v>
      </c>
      <c r="D41" s="2" t="s">
        <v>82</v>
      </c>
      <c r="E41" s="2">
        <v>0.84199999999999997</v>
      </c>
      <c r="F41" s="2">
        <v>0.8</v>
      </c>
      <c r="G41" s="2">
        <v>1.65</v>
      </c>
      <c r="H41" s="2">
        <v>8</v>
      </c>
      <c r="I41" s="2">
        <v>13.2</v>
      </c>
      <c r="J41" s="2">
        <v>679.19</v>
      </c>
      <c r="K41" s="2">
        <v>67.92</v>
      </c>
      <c r="L41" s="2">
        <v>149.41999999999999</v>
      </c>
      <c r="M41" s="2">
        <v>10</v>
      </c>
    </row>
    <row r="42" spans="1:13" x14ac:dyDescent="0.3">
      <c r="A42" s="6" t="s">
        <v>13</v>
      </c>
      <c r="B42" s="7" t="s">
        <v>83</v>
      </c>
      <c r="C42" s="2" t="s">
        <v>249</v>
      </c>
      <c r="D42" s="7" t="s">
        <v>84</v>
      </c>
      <c r="E42" s="7">
        <v>17.945</v>
      </c>
      <c r="F42" s="7">
        <v>17.047999999999998</v>
      </c>
      <c r="G42" s="7">
        <v>11</v>
      </c>
      <c r="H42" s="7">
        <v>8</v>
      </c>
      <c r="I42" s="7">
        <v>88</v>
      </c>
      <c r="J42" s="7">
        <v>4604.1899999999996</v>
      </c>
      <c r="K42" s="7">
        <v>460.42</v>
      </c>
      <c r="L42" s="7">
        <v>1012.92</v>
      </c>
      <c r="M42" s="2">
        <v>10</v>
      </c>
    </row>
    <row r="43" spans="1:13" x14ac:dyDescent="0.3">
      <c r="A43" s="4" t="s">
        <v>13</v>
      </c>
      <c r="B43" s="2" t="s">
        <v>85</v>
      </c>
      <c r="C43" s="2" t="s">
        <v>250</v>
      </c>
      <c r="D43" s="2" t="s">
        <v>86</v>
      </c>
      <c r="E43" s="2">
        <v>0.55600000000000005</v>
      </c>
      <c r="F43" s="2">
        <v>0.52800000000000002</v>
      </c>
      <c r="G43" s="2">
        <v>1.6</v>
      </c>
      <c r="H43" s="2">
        <v>8</v>
      </c>
      <c r="I43" s="2">
        <v>12.8</v>
      </c>
      <c r="J43" s="2">
        <v>657</v>
      </c>
      <c r="K43" s="2">
        <v>65.7</v>
      </c>
      <c r="L43" s="2">
        <v>144.54</v>
      </c>
      <c r="M43" s="2">
        <v>10</v>
      </c>
    </row>
    <row r="44" spans="1:13" x14ac:dyDescent="0.3">
      <c r="A44" s="4" t="s">
        <v>13</v>
      </c>
      <c r="B44" s="2" t="s">
        <v>87</v>
      </c>
      <c r="C44" s="2" t="s">
        <v>251</v>
      </c>
      <c r="D44" s="2" t="s">
        <v>88</v>
      </c>
      <c r="E44" s="2">
        <v>7.6929999999999996</v>
      </c>
      <c r="F44" s="2">
        <v>7.3079999999999998</v>
      </c>
      <c r="G44" s="2">
        <v>9</v>
      </c>
      <c r="H44" s="2">
        <v>6</v>
      </c>
      <c r="I44" s="2">
        <v>54</v>
      </c>
      <c r="J44" s="2">
        <v>2804.78</v>
      </c>
      <c r="K44" s="2">
        <v>280.48</v>
      </c>
      <c r="L44" s="2">
        <v>617.04999999999995</v>
      </c>
      <c r="M44" s="2">
        <v>10</v>
      </c>
    </row>
    <row r="45" spans="1:13" x14ac:dyDescent="0.3">
      <c r="A45" s="6" t="s">
        <v>13</v>
      </c>
      <c r="B45" s="7" t="s">
        <v>89</v>
      </c>
      <c r="C45" s="2" t="s">
        <v>252</v>
      </c>
      <c r="D45" s="7" t="s">
        <v>90</v>
      </c>
      <c r="E45" s="7">
        <v>81.599999999999994</v>
      </c>
      <c r="F45" s="7">
        <v>77.52</v>
      </c>
      <c r="G45" s="7">
        <v>3.65</v>
      </c>
      <c r="H45" s="7">
        <v>120</v>
      </c>
      <c r="I45" s="7">
        <v>438</v>
      </c>
      <c r="J45" s="7">
        <v>22868.6</v>
      </c>
      <c r="K45" s="7">
        <v>2286.86</v>
      </c>
      <c r="L45" s="7">
        <v>5031.09</v>
      </c>
      <c r="M45" s="2">
        <v>10</v>
      </c>
    </row>
    <row r="46" spans="1:13" x14ac:dyDescent="0.3">
      <c r="A46" s="4" t="s">
        <v>13</v>
      </c>
      <c r="B46" s="2" t="s">
        <v>91</v>
      </c>
      <c r="C46" s="2" t="s">
        <v>253</v>
      </c>
      <c r="D46" s="2" t="s">
        <v>92</v>
      </c>
      <c r="E46" s="2">
        <v>42.442</v>
      </c>
      <c r="F46" s="2">
        <v>40.32</v>
      </c>
      <c r="G46" s="2">
        <v>5.8</v>
      </c>
      <c r="H46" s="2">
        <v>120</v>
      </c>
      <c r="I46" s="2">
        <v>696</v>
      </c>
      <c r="J46" s="2">
        <v>35799.83</v>
      </c>
      <c r="K46" s="2">
        <v>3579.98</v>
      </c>
      <c r="L46" s="2">
        <v>7875.96</v>
      </c>
      <c r="M46" s="2">
        <v>10</v>
      </c>
    </row>
    <row r="47" spans="1:13" x14ac:dyDescent="0.3">
      <c r="A47" s="6" t="s">
        <v>13</v>
      </c>
      <c r="B47" s="7" t="s">
        <v>93</v>
      </c>
      <c r="C47" s="2" t="s">
        <v>254</v>
      </c>
      <c r="D47" s="7" t="s">
        <v>94</v>
      </c>
      <c r="E47" s="7">
        <v>152.10499999999999</v>
      </c>
      <c r="F47" s="7">
        <v>144.5</v>
      </c>
      <c r="G47" s="7">
        <v>9.6</v>
      </c>
      <c r="H47" s="7">
        <v>100</v>
      </c>
      <c r="I47" s="7">
        <v>960</v>
      </c>
      <c r="J47" s="8">
        <f>SUM(49957.59,-0.01)</f>
        <v>49957.579999999994</v>
      </c>
      <c r="K47" s="8">
        <f>SUM(4995.76,-0.02)</f>
        <v>4995.74</v>
      </c>
      <c r="L47" s="8">
        <f>SUM(10990.67,0.01)</f>
        <v>10990.68</v>
      </c>
      <c r="M47" s="2">
        <v>10</v>
      </c>
    </row>
    <row r="48" spans="1:13" x14ac:dyDescent="0.3">
      <c r="A48" s="4" t="s">
        <v>13</v>
      </c>
      <c r="B48" s="2" t="s">
        <v>95</v>
      </c>
      <c r="C48" s="2" t="s">
        <v>255</v>
      </c>
      <c r="D48" s="2" t="s">
        <v>96</v>
      </c>
      <c r="E48" s="2">
        <v>12.105</v>
      </c>
      <c r="F48" s="2">
        <v>11.5</v>
      </c>
      <c r="G48" s="2">
        <v>1.9</v>
      </c>
      <c r="H48" s="2">
        <v>100</v>
      </c>
      <c r="I48" s="2">
        <v>190</v>
      </c>
      <c r="J48" s="2">
        <v>9776.15</v>
      </c>
      <c r="K48" s="2">
        <v>977.62</v>
      </c>
      <c r="L48" s="2">
        <v>2150.75</v>
      </c>
      <c r="M48" s="2">
        <v>10</v>
      </c>
    </row>
    <row r="49" spans="1:13" x14ac:dyDescent="0.3">
      <c r="A49" s="4" t="s">
        <v>13</v>
      </c>
      <c r="B49" s="2" t="s">
        <v>97</v>
      </c>
      <c r="C49" s="2" t="s">
        <v>256</v>
      </c>
      <c r="D49" s="2" t="s">
        <v>98</v>
      </c>
      <c r="E49" s="2">
        <v>51.460999999999999</v>
      </c>
      <c r="F49" s="2">
        <v>48.887999999999998</v>
      </c>
      <c r="G49" s="2">
        <v>3.65</v>
      </c>
      <c r="H49" s="2">
        <v>84</v>
      </c>
      <c r="I49" s="2">
        <v>306.60000000000002</v>
      </c>
      <c r="J49" s="2">
        <v>15973.03</v>
      </c>
      <c r="K49" s="2">
        <v>1597.3</v>
      </c>
      <c r="L49" s="2">
        <v>3514.07</v>
      </c>
      <c r="M49" s="2">
        <v>10</v>
      </c>
    </row>
    <row r="50" spans="1:13" x14ac:dyDescent="0.3">
      <c r="A50" s="4" t="s">
        <v>13</v>
      </c>
      <c r="B50" s="2" t="s">
        <v>99</v>
      </c>
      <c r="C50" s="2" t="s">
        <v>257</v>
      </c>
      <c r="D50" s="2" t="s">
        <v>20</v>
      </c>
      <c r="E50" s="2">
        <v>19.579000000000001</v>
      </c>
      <c r="F50" s="2">
        <v>18.600000000000001</v>
      </c>
      <c r="G50" s="2">
        <v>1.9</v>
      </c>
      <c r="H50" s="2">
        <v>60</v>
      </c>
      <c r="I50" s="2">
        <v>114</v>
      </c>
      <c r="J50" s="2">
        <v>5941.84</v>
      </c>
      <c r="K50" s="2">
        <v>594.17999999999995</v>
      </c>
      <c r="L50" s="2">
        <v>1307.2</v>
      </c>
      <c r="M50" s="2">
        <v>10</v>
      </c>
    </row>
    <row r="51" spans="1:13" x14ac:dyDescent="0.3">
      <c r="A51" s="6" t="s">
        <v>13</v>
      </c>
      <c r="B51" s="7" t="s">
        <v>100</v>
      </c>
      <c r="C51" s="2" t="s">
        <v>258</v>
      </c>
      <c r="D51" s="7" t="s">
        <v>22</v>
      </c>
      <c r="E51" s="7">
        <v>20</v>
      </c>
      <c r="F51" s="7">
        <v>19</v>
      </c>
      <c r="G51" s="7">
        <v>2.8</v>
      </c>
      <c r="H51" s="7">
        <v>50</v>
      </c>
      <c r="I51" s="7">
        <v>140</v>
      </c>
      <c r="J51" s="7">
        <v>7271.99</v>
      </c>
      <c r="K51" s="7">
        <v>727.2</v>
      </c>
      <c r="L51" s="7">
        <v>1599.84</v>
      </c>
      <c r="M51" s="2">
        <v>10</v>
      </c>
    </row>
    <row r="52" spans="1:13" x14ac:dyDescent="0.3">
      <c r="A52" s="4" t="s">
        <v>13</v>
      </c>
      <c r="B52" s="2" t="s">
        <v>101</v>
      </c>
      <c r="C52" s="2" t="s">
        <v>259</v>
      </c>
      <c r="D52" s="2" t="s">
        <v>102</v>
      </c>
      <c r="E52" s="2">
        <v>66.578999999999994</v>
      </c>
      <c r="F52" s="2">
        <v>63.25</v>
      </c>
      <c r="G52" s="2">
        <v>6.25</v>
      </c>
      <c r="H52" s="2">
        <v>50</v>
      </c>
      <c r="I52" s="2">
        <v>312.5</v>
      </c>
      <c r="J52" s="2">
        <v>16367.76</v>
      </c>
      <c r="K52" s="2">
        <v>1636.78</v>
      </c>
      <c r="L52" s="2">
        <v>3600.91</v>
      </c>
      <c r="M52" s="2">
        <v>10</v>
      </c>
    </row>
    <row r="53" spans="1:13" x14ac:dyDescent="0.3">
      <c r="A53" s="4" t="s">
        <v>13</v>
      </c>
      <c r="B53" s="2" t="s">
        <v>103</v>
      </c>
      <c r="C53" s="2" t="s">
        <v>260</v>
      </c>
      <c r="D53" s="2" t="s">
        <v>104</v>
      </c>
      <c r="E53" s="2">
        <v>46.326000000000001</v>
      </c>
      <c r="F53" s="2">
        <v>44.01</v>
      </c>
      <c r="G53" s="2">
        <v>9.6</v>
      </c>
      <c r="H53" s="2">
        <v>30</v>
      </c>
      <c r="I53" s="2">
        <v>288</v>
      </c>
      <c r="J53" s="2">
        <v>14991.57</v>
      </c>
      <c r="K53" s="2">
        <v>1499.16</v>
      </c>
      <c r="L53" s="2">
        <v>3298.15</v>
      </c>
      <c r="M53" s="2">
        <v>10</v>
      </c>
    </row>
    <row r="54" spans="1:13" x14ac:dyDescent="0.3">
      <c r="A54" s="4" t="s">
        <v>13</v>
      </c>
      <c r="B54" s="2" t="s">
        <v>105</v>
      </c>
      <c r="C54" s="2" t="s">
        <v>261</v>
      </c>
      <c r="D54" s="2" t="s">
        <v>33</v>
      </c>
      <c r="E54" s="2">
        <v>31.158000000000001</v>
      </c>
      <c r="F54" s="2">
        <v>29.6</v>
      </c>
      <c r="G54" s="2">
        <v>8.5</v>
      </c>
      <c r="H54" s="2">
        <v>20</v>
      </c>
      <c r="I54" s="2">
        <v>170</v>
      </c>
      <c r="J54" s="2">
        <v>8872.77</v>
      </c>
      <c r="K54" s="2">
        <v>887.28</v>
      </c>
      <c r="L54" s="2">
        <v>1952.01</v>
      </c>
      <c r="M54" s="2">
        <v>10</v>
      </c>
    </row>
    <row r="55" spans="1:13" x14ac:dyDescent="0.3">
      <c r="A55" s="4" t="s">
        <v>13</v>
      </c>
      <c r="B55" s="2" t="s">
        <v>106</v>
      </c>
      <c r="C55" s="2" t="s">
        <v>262</v>
      </c>
      <c r="D55" s="2" t="s">
        <v>107</v>
      </c>
      <c r="E55" s="2">
        <v>128.84200000000001</v>
      </c>
      <c r="F55" s="2">
        <v>122.4</v>
      </c>
      <c r="G55" s="2">
        <v>47.25</v>
      </c>
      <c r="H55" s="2">
        <v>20</v>
      </c>
      <c r="I55" s="2">
        <v>945</v>
      </c>
      <c r="J55" s="2">
        <v>49047.87</v>
      </c>
      <c r="K55" s="2">
        <v>4904.79</v>
      </c>
      <c r="L55" s="2">
        <v>10790.53</v>
      </c>
      <c r="M55" s="2">
        <v>10</v>
      </c>
    </row>
    <row r="56" spans="1:13" x14ac:dyDescent="0.3">
      <c r="A56" s="4" t="s">
        <v>13</v>
      </c>
      <c r="B56" s="2" t="s">
        <v>108</v>
      </c>
      <c r="C56" s="2" t="s">
        <v>263</v>
      </c>
      <c r="D56" s="2" t="s">
        <v>109</v>
      </c>
      <c r="E56" s="2">
        <v>1.0109999999999999</v>
      </c>
      <c r="F56" s="2">
        <v>0.96</v>
      </c>
      <c r="G56" s="2">
        <v>7</v>
      </c>
      <c r="H56" s="2">
        <v>6</v>
      </c>
      <c r="I56" s="2">
        <v>42</v>
      </c>
      <c r="J56" s="2">
        <v>2150.75</v>
      </c>
      <c r="K56" s="2">
        <v>215.08</v>
      </c>
      <c r="L56" s="2">
        <v>473.17</v>
      </c>
      <c r="M56" s="2">
        <v>10</v>
      </c>
    </row>
    <row r="57" spans="1:13" x14ac:dyDescent="0.3">
      <c r="A57" s="4" t="s">
        <v>13</v>
      </c>
      <c r="B57" s="2" t="s">
        <v>110</v>
      </c>
      <c r="C57" s="2" t="s">
        <v>264</v>
      </c>
      <c r="D57" s="2" t="s">
        <v>52</v>
      </c>
      <c r="E57" s="2">
        <v>10.863</v>
      </c>
      <c r="F57" s="2">
        <v>10.32</v>
      </c>
      <c r="G57" s="2">
        <v>13</v>
      </c>
      <c r="H57" s="2">
        <v>6</v>
      </c>
      <c r="I57" s="2">
        <v>78</v>
      </c>
      <c r="J57" s="2">
        <v>4049.81</v>
      </c>
      <c r="K57" s="2">
        <v>404.98</v>
      </c>
      <c r="L57" s="2">
        <v>890.96</v>
      </c>
      <c r="M57" s="2">
        <v>10</v>
      </c>
    </row>
    <row r="58" spans="1:13" x14ac:dyDescent="0.3">
      <c r="A58" s="4" t="s">
        <v>111</v>
      </c>
      <c r="B58" s="2" t="s">
        <v>112</v>
      </c>
      <c r="C58" s="2" t="s">
        <v>265</v>
      </c>
      <c r="D58" s="2" t="s">
        <v>113</v>
      </c>
      <c r="E58" s="2">
        <v>3.0950000000000002</v>
      </c>
      <c r="F58" s="2">
        <v>2.94</v>
      </c>
      <c r="G58" s="2">
        <v>12.1</v>
      </c>
      <c r="H58" s="2">
        <v>4</v>
      </c>
      <c r="I58" s="2">
        <v>48.4</v>
      </c>
      <c r="J58" s="2">
        <v>2490.42</v>
      </c>
      <c r="K58" s="2">
        <v>124.52</v>
      </c>
      <c r="L58" s="2">
        <v>522.99</v>
      </c>
      <c r="M58" s="2">
        <v>5</v>
      </c>
    </row>
    <row r="59" spans="1:13" x14ac:dyDescent="0.3">
      <c r="A59" s="6" t="s">
        <v>114</v>
      </c>
      <c r="B59" s="7" t="s">
        <v>187</v>
      </c>
      <c r="C59" s="2" t="s">
        <v>187</v>
      </c>
      <c r="D59" s="7" t="s">
        <v>115</v>
      </c>
      <c r="E59" s="7">
        <v>9.1579999999999995</v>
      </c>
      <c r="F59" s="7">
        <v>8.6999999999999993</v>
      </c>
      <c r="G59" s="7">
        <v>1</v>
      </c>
      <c r="H59" s="7">
        <v>60</v>
      </c>
      <c r="I59" s="7">
        <v>60</v>
      </c>
      <c r="J59" s="7">
        <v>3120.19</v>
      </c>
      <c r="K59" s="7">
        <v>202.81</v>
      </c>
      <c r="L59" s="7">
        <v>664.6</v>
      </c>
      <c r="M59" s="2">
        <v>6.5</v>
      </c>
    </row>
    <row r="60" spans="1:13" x14ac:dyDescent="0.3">
      <c r="A60" s="4" t="s">
        <v>114</v>
      </c>
      <c r="B60" s="2" t="s">
        <v>116</v>
      </c>
      <c r="C60" s="2" t="s">
        <v>266</v>
      </c>
      <c r="D60" s="2" t="s">
        <v>117</v>
      </c>
      <c r="E60" s="2">
        <v>88.295000000000002</v>
      </c>
      <c r="F60" s="2">
        <v>83.88</v>
      </c>
      <c r="G60" s="2">
        <v>7.5</v>
      </c>
      <c r="H60" s="2">
        <v>40</v>
      </c>
      <c r="I60" s="2">
        <v>300</v>
      </c>
      <c r="J60" s="5">
        <f>SUM(15863.78,0.01)</f>
        <v>15863.79</v>
      </c>
      <c r="K60" s="2">
        <v>1031.1500000000001</v>
      </c>
      <c r="L60" s="2">
        <v>3378.99</v>
      </c>
      <c r="M60" s="2">
        <v>6.5</v>
      </c>
    </row>
    <row r="61" spans="1:13" x14ac:dyDescent="0.3">
      <c r="A61" s="4" t="s">
        <v>118</v>
      </c>
      <c r="B61" s="2" t="s">
        <v>188</v>
      </c>
      <c r="C61" s="2" t="s">
        <v>188</v>
      </c>
      <c r="D61" s="2" t="s">
        <v>119</v>
      </c>
      <c r="E61" s="2">
        <v>0.65900000000000003</v>
      </c>
      <c r="F61" s="2">
        <v>0.626</v>
      </c>
      <c r="G61" s="2">
        <v>3.88</v>
      </c>
      <c r="H61" s="2">
        <v>2</v>
      </c>
      <c r="I61" s="2">
        <v>7.76</v>
      </c>
      <c r="J61" s="2">
        <v>400.3</v>
      </c>
      <c r="K61" s="2">
        <v>20.02</v>
      </c>
      <c r="L61" s="2">
        <v>84.06</v>
      </c>
      <c r="M61" s="2">
        <v>5</v>
      </c>
    </row>
    <row r="62" spans="1:13" x14ac:dyDescent="0.3">
      <c r="A62" s="6" t="s">
        <v>120</v>
      </c>
      <c r="B62" s="7" t="s">
        <v>121</v>
      </c>
      <c r="C62" s="2" t="s">
        <v>267</v>
      </c>
      <c r="D62" s="7" t="s">
        <v>122</v>
      </c>
      <c r="E62" s="7">
        <v>1.579</v>
      </c>
      <c r="F62" s="7">
        <v>1.5</v>
      </c>
      <c r="G62" s="7">
        <v>0.85</v>
      </c>
      <c r="H62" s="7">
        <v>10</v>
      </c>
      <c r="I62" s="7">
        <v>8.5</v>
      </c>
      <c r="J62" s="7">
        <v>443.77</v>
      </c>
      <c r="K62" s="7">
        <v>44.38</v>
      </c>
      <c r="L62" s="7">
        <v>97.63</v>
      </c>
      <c r="M62" s="2">
        <v>10</v>
      </c>
    </row>
    <row r="63" spans="1:13" x14ac:dyDescent="0.3">
      <c r="A63" s="4" t="s">
        <v>120</v>
      </c>
      <c r="B63" s="2" t="s">
        <v>123</v>
      </c>
      <c r="C63" s="2" t="s">
        <v>268</v>
      </c>
      <c r="D63" s="2" t="s">
        <v>124</v>
      </c>
      <c r="E63" s="2">
        <v>0.56799999999999995</v>
      </c>
      <c r="F63" s="2">
        <v>0.54</v>
      </c>
      <c r="G63" s="2">
        <v>1.05</v>
      </c>
      <c r="H63" s="2">
        <v>20</v>
      </c>
      <c r="I63" s="2">
        <v>21</v>
      </c>
      <c r="J63" s="2">
        <v>1075.76</v>
      </c>
      <c r="K63" s="5">
        <f>SUM(107.58,-0.01)</f>
        <v>107.57</v>
      </c>
      <c r="L63" s="2">
        <v>236.67</v>
      </c>
      <c r="M63" s="2">
        <v>10</v>
      </c>
    </row>
    <row r="64" spans="1:13" x14ac:dyDescent="0.3">
      <c r="A64" s="6" t="s">
        <v>120</v>
      </c>
      <c r="B64" s="7" t="s">
        <v>125</v>
      </c>
      <c r="C64" s="2" t="s">
        <v>269</v>
      </c>
      <c r="D64" s="7" t="s">
        <v>126</v>
      </c>
      <c r="E64" s="7">
        <v>0.14699999999999999</v>
      </c>
      <c r="F64" s="7">
        <v>0.14000000000000001</v>
      </c>
      <c r="G64" s="7">
        <v>0.85</v>
      </c>
      <c r="H64" s="7">
        <v>10</v>
      </c>
      <c r="I64" s="7">
        <v>8.5</v>
      </c>
      <c r="J64" s="7">
        <v>434.91</v>
      </c>
      <c r="K64" s="7">
        <v>43.49</v>
      </c>
      <c r="L64" s="7">
        <v>95.68</v>
      </c>
      <c r="M64" s="2">
        <v>10</v>
      </c>
    </row>
    <row r="65" spans="1:13" x14ac:dyDescent="0.3">
      <c r="A65" s="4" t="s">
        <v>127</v>
      </c>
      <c r="B65" s="2" t="s">
        <v>189</v>
      </c>
      <c r="C65" s="2" t="s">
        <v>189</v>
      </c>
      <c r="D65" s="2" t="s">
        <v>128</v>
      </c>
      <c r="E65" s="2">
        <v>4.08</v>
      </c>
      <c r="F65" s="2">
        <v>3.8759999999999999</v>
      </c>
      <c r="G65" s="2">
        <v>8</v>
      </c>
      <c r="H65" s="2">
        <v>4</v>
      </c>
      <c r="I65" s="2">
        <v>32</v>
      </c>
      <c r="J65" s="2">
        <v>1659.13</v>
      </c>
      <c r="K65" s="2">
        <v>165.91</v>
      </c>
      <c r="L65" s="2">
        <v>365.01</v>
      </c>
      <c r="M65" s="2">
        <v>10</v>
      </c>
    </row>
    <row r="66" spans="1:13" x14ac:dyDescent="0.3">
      <c r="A66" s="6" t="s">
        <v>127</v>
      </c>
      <c r="B66" s="7" t="s">
        <v>129</v>
      </c>
      <c r="C66" s="2" t="s">
        <v>270</v>
      </c>
      <c r="D66" s="7" t="s">
        <v>130</v>
      </c>
      <c r="E66" s="7">
        <v>8.8840000000000003</v>
      </c>
      <c r="F66" s="7">
        <v>8.44</v>
      </c>
      <c r="G66" s="7">
        <v>2.2000000000000002</v>
      </c>
      <c r="H66" s="7">
        <v>20</v>
      </c>
      <c r="I66" s="7">
        <v>44</v>
      </c>
      <c r="J66" s="7">
        <v>2301.5500000000002</v>
      </c>
      <c r="K66" s="7">
        <v>230.16</v>
      </c>
      <c r="L66" s="7">
        <v>506.34</v>
      </c>
      <c r="M66" s="2">
        <v>10</v>
      </c>
    </row>
    <row r="67" spans="1:13" x14ac:dyDescent="0.3">
      <c r="A67" s="4" t="s">
        <v>127</v>
      </c>
      <c r="B67" s="2" t="s">
        <v>190</v>
      </c>
      <c r="C67" s="2" t="s">
        <v>190</v>
      </c>
      <c r="D67" s="2" t="s">
        <v>131</v>
      </c>
      <c r="E67" s="2">
        <v>2.008</v>
      </c>
      <c r="F67" s="2">
        <v>1.9079999999999999</v>
      </c>
      <c r="G67" s="2">
        <v>3.6</v>
      </c>
      <c r="H67" s="2">
        <v>4</v>
      </c>
      <c r="I67" s="2">
        <v>14.4</v>
      </c>
      <c r="J67" s="2">
        <v>747.67</v>
      </c>
      <c r="K67" s="2">
        <v>74.77</v>
      </c>
      <c r="L67" s="2">
        <v>164.49</v>
      </c>
      <c r="M67" s="2">
        <v>10</v>
      </c>
    </row>
    <row r="68" spans="1:13" x14ac:dyDescent="0.3">
      <c r="A68" s="4" t="s">
        <v>127</v>
      </c>
      <c r="B68" s="2" t="s">
        <v>132</v>
      </c>
      <c r="C68" s="2" t="s">
        <v>271</v>
      </c>
      <c r="D68" s="2" t="s">
        <v>133</v>
      </c>
      <c r="E68" s="2">
        <v>5.2380000000000004</v>
      </c>
      <c r="F68" s="2">
        <v>4.976</v>
      </c>
      <c r="G68" s="2">
        <v>16</v>
      </c>
      <c r="H68" s="2">
        <v>4</v>
      </c>
      <c r="I68" s="2">
        <v>64</v>
      </c>
      <c r="J68" s="2">
        <v>3300.19</v>
      </c>
      <c r="K68" s="2">
        <v>330.02</v>
      </c>
      <c r="L68" s="2">
        <v>726.04</v>
      </c>
      <c r="M68" s="2">
        <v>10</v>
      </c>
    </row>
    <row r="69" spans="1:13" x14ac:dyDescent="0.3">
      <c r="A69" s="6" t="s">
        <v>127</v>
      </c>
      <c r="B69" s="7" t="s">
        <v>191</v>
      </c>
      <c r="C69" s="2" t="s">
        <v>191</v>
      </c>
      <c r="D69" s="7" t="s">
        <v>134</v>
      </c>
      <c r="E69" s="7">
        <v>0.36</v>
      </c>
      <c r="F69" s="7">
        <v>0.34200000000000003</v>
      </c>
      <c r="G69" s="7">
        <v>1.54</v>
      </c>
      <c r="H69" s="7">
        <v>2</v>
      </c>
      <c r="I69" s="7">
        <v>3.08</v>
      </c>
      <c r="J69" s="7">
        <v>159.49</v>
      </c>
      <c r="K69" s="7">
        <v>15.95</v>
      </c>
      <c r="L69" s="7">
        <v>35.090000000000003</v>
      </c>
      <c r="M69" s="2">
        <v>10</v>
      </c>
    </row>
    <row r="70" spans="1:13" x14ac:dyDescent="0.3">
      <c r="A70" s="4" t="s">
        <v>127</v>
      </c>
      <c r="B70" s="2" t="s">
        <v>135</v>
      </c>
      <c r="C70" s="2" t="s">
        <v>272</v>
      </c>
      <c r="D70" s="2" t="s">
        <v>136</v>
      </c>
      <c r="E70" s="2">
        <v>120.474</v>
      </c>
      <c r="F70" s="2">
        <v>114.45</v>
      </c>
      <c r="G70" s="2">
        <v>29</v>
      </c>
      <c r="H70" s="2">
        <v>15</v>
      </c>
      <c r="I70" s="2">
        <v>435</v>
      </c>
      <c r="J70" s="2">
        <v>22955.78</v>
      </c>
      <c r="K70" s="5">
        <f>SUM(2295.58,-0.01)</f>
        <v>2295.5699999999997</v>
      </c>
      <c r="L70" s="2">
        <v>5050.2700000000004</v>
      </c>
      <c r="M70" s="2">
        <v>10</v>
      </c>
    </row>
    <row r="71" spans="1:13" x14ac:dyDescent="0.3">
      <c r="A71" s="4" t="s">
        <v>127</v>
      </c>
      <c r="B71" s="2" t="s">
        <v>137</v>
      </c>
      <c r="C71" s="2" t="s">
        <v>273</v>
      </c>
      <c r="D71" s="2" t="s">
        <v>138</v>
      </c>
      <c r="E71" s="2">
        <v>38.274000000000001</v>
      </c>
      <c r="F71" s="2">
        <v>36.36</v>
      </c>
      <c r="G71" s="2">
        <v>21</v>
      </c>
      <c r="H71" s="2">
        <v>8</v>
      </c>
      <c r="I71" s="2">
        <v>168</v>
      </c>
      <c r="J71" s="2">
        <v>8814.65</v>
      </c>
      <c r="K71" s="2">
        <v>881.47</v>
      </c>
      <c r="L71" s="2">
        <v>1939.22</v>
      </c>
      <c r="M71" s="2">
        <v>10</v>
      </c>
    </row>
    <row r="72" spans="1:13" x14ac:dyDescent="0.3">
      <c r="A72" s="4" t="s">
        <v>139</v>
      </c>
      <c r="B72" s="2" t="s">
        <v>192</v>
      </c>
      <c r="C72" s="2" t="s">
        <v>192</v>
      </c>
      <c r="D72" s="2" t="s">
        <v>140</v>
      </c>
      <c r="E72" s="2">
        <v>2.6110000000000002</v>
      </c>
      <c r="F72" s="2">
        <v>2.48</v>
      </c>
      <c r="G72" s="2">
        <v>1.68</v>
      </c>
      <c r="H72" s="2">
        <v>8</v>
      </c>
      <c r="I72" s="2">
        <v>13.44</v>
      </c>
      <c r="J72" s="2">
        <v>702.38</v>
      </c>
      <c r="K72" s="5">
        <f>SUM(70.24,-0.01)</f>
        <v>70.22999999999999</v>
      </c>
      <c r="L72" s="5">
        <f>SUM(154.52,0.01)</f>
        <v>154.53</v>
      </c>
      <c r="M72" s="2">
        <v>10</v>
      </c>
    </row>
    <row r="73" spans="1:13" x14ac:dyDescent="0.3">
      <c r="A73" s="6" t="s">
        <v>139</v>
      </c>
      <c r="B73" s="7" t="s">
        <v>193</v>
      </c>
      <c r="C73" s="2" t="s">
        <v>193</v>
      </c>
      <c r="D73" s="7" t="s">
        <v>141</v>
      </c>
      <c r="E73" s="7">
        <v>0.442</v>
      </c>
      <c r="F73" s="7">
        <v>0.42</v>
      </c>
      <c r="G73" s="7">
        <v>1.75</v>
      </c>
      <c r="H73" s="7">
        <v>4</v>
      </c>
      <c r="I73" s="7">
        <v>7</v>
      </c>
      <c r="J73" s="7">
        <v>360.15</v>
      </c>
      <c r="K73" s="7">
        <v>36.020000000000003</v>
      </c>
      <c r="L73" s="7">
        <v>79.23</v>
      </c>
      <c r="M73" s="2">
        <v>10</v>
      </c>
    </row>
    <row r="74" spans="1:13" x14ac:dyDescent="0.3">
      <c r="A74" s="4" t="s">
        <v>142</v>
      </c>
      <c r="B74" s="2" t="s">
        <v>143</v>
      </c>
      <c r="C74" s="2" t="s">
        <v>274</v>
      </c>
      <c r="D74" s="2" t="s">
        <v>144</v>
      </c>
      <c r="E74" s="2">
        <v>2.105</v>
      </c>
      <c r="F74" s="2">
        <v>2</v>
      </c>
      <c r="G74" s="2">
        <v>1.2</v>
      </c>
      <c r="H74" s="2">
        <v>40</v>
      </c>
      <c r="I74" s="2">
        <v>48</v>
      </c>
      <c r="J74" s="2">
        <v>2463.87</v>
      </c>
      <c r="K74" s="2">
        <v>123.19</v>
      </c>
      <c r="L74" s="2">
        <v>517.41</v>
      </c>
      <c r="M74" s="2">
        <v>5</v>
      </c>
    </row>
    <row r="75" spans="1:13" x14ac:dyDescent="0.3">
      <c r="A75" s="4" t="s">
        <v>145</v>
      </c>
      <c r="B75" s="2" t="s">
        <v>194</v>
      </c>
      <c r="C75" s="2" t="s">
        <v>194</v>
      </c>
      <c r="D75" s="2" t="s">
        <v>146</v>
      </c>
      <c r="E75" s="2">
        <v>42.104999999999997</v>
      </c>
      <c r="F75" s="2">
        <v>40</v>
      </c>
      <c r="G75" s="2">
        <v>0.39</v>
      </c>
      <c r="H75" s="2">
        <v>500</v>
      </c>
      <c r="I75" s="2">
        <v>195</v>
      </c>
      <c r="J75" s="2">
        <v>10216.94</v>
      </c>
      <c r="K75" s="2">
        <v>510.85</v>
      </c>
      <c r="L75" s="2">
        <v>2145.56</v>
      </c>
      <c r="M75" s="2">
        <v>5</v>
      </c>
    </row>
    <row r="76" spans="1:13" x14ac:dyDescent="0.3">
      <c r="A76" s="4" t="s">
        <v>147</v>
      </c>
      <c r="B76" s="2" t="s">
        <v>195</v>
      </c>
      <c r="C76" s="2" t="s">
        <v>195</v>
      </c>
      <c r="D76" s="2" t="s">
        <v>148</v>
      </c>
      <c r="E76" s="2">
        <v>0.96399999999999997</v>
      </c>
      <c r="F76" s="2">
        <v>0.91600000000000004</v>
      </c>
      <c r="G76" s="2">
        <v>1.78</v>
      </c>
      <c r="H76" s="2">
        <v>4</v>
      </c>
      <c r="I76" s="2">
        <v>7.12</v>
      </c>
      <c r="J76" s="2">
        <v>369.5</v>
      </c>
      <c r="K76" s="2">
        <v>18.48</v>
      </c>
      <c r="L76" s="2">
        <v>77.599999999999994</v>
      </c>
      <c r="M76" s="2">
        <v>5</v>
      </c>
    </row>
    <row r="77" spans="1:13" x14ac:dyDescent="0.3">
      <c r="A77" s="4" t="s">
        <v>147</v>
      </c>
      <c r="B77" s="2" t="s">
        <v>196</v>
      </c>
      <c r="C77" s="2" t="s">
        <v>196</v>
      </c>
      <c r="D77" s="2" t="s">
        <v>149</v>
      </c>
      <c r="E77" s="2">
        <v>0.53700000000000003</v>
      </c>
      <c r="F77" s="2">
        <v>0.51</v>
      </c>
      <c r="G77" s="2">
        <v>2.25</v>
      </c>
      <c r="H77" s="2">
        <v>6</v>
      </c>
      <c r="I77" s="2">
        <v>13.5</v>
      </c>
      <c r="J77" s="5">
        <f>SUM(692.62,0.01)</f>
        <v>692.63</v>
      </c>
      <c r="K77" s="2">
        <v>34.630000000000003</v>
      </c>
      <c r="L77" s="2">
        <v>145.44999999999999</v>
      </c>
      <c r="M77" s="2">
        <v>5</v>
      </c>
    </row>
    <row r="78" spans="1:13" x14ac:dyDescent="0.3">
      <c r="A78" s="4" t="s">
        <v>150</v>
      </c>
      <c r="B78" s="2" t="s">
        <v>197</v>
      </c>
      <c r="C78" s="2" t="s">
        <v>197</v>
      </c>
      <c r="D78" s="2" t="s">
        <v>151</v>
      </c>
      <c r="E78" s="2">
        <v>3</v>
      </c>
      <c r="F78" s="2">
        <v>2.85</v>
      </c>
      <c r="G78" s="2">
        <v>1.36</v>
      </c>
      <c r="H78" s="2">
        <v>10</v>
      </c>
      <c r="I78" s="2">
        <v>13.6</v>
      </c>
      <c r="J78" s="2">
        <v>712.96</v>
      </c>
      <c r="K78" s="2">
        <v>35.65</v>
      </c>
      <c r="L78" s="2">
        <v>149.72</v>
      </c>
      <c r="M78" s="2">
        <v>5</v>
      </c>
    </row>
    <row r="79" spans="1:13" x14ac:dyDescent="0.3">
      <c r="A79" s="6" t="s">
        <v>150</v>
      </c>
      <c r="B79" s="7" t="s">
        <v>152</v>
      </c>
      <c r="C79" s="2" t="s">
        <v>275</v>
      </c>
      <c r="D79" s="7" t="s">
        <v>153</v>
      </c>
      <c r="E79" s="7">
        <v>0.56799999999999995</v>
      </c>
      <c r="F79" s="7">
        <v>0.54</v>
      </c>
      <c r="G79" s="7">
        <v>0.2</v>
      </c>
      <c r="H79" s="7">
        <v>20</v>
      </c>
      <c r="I79" s="7">
        <v>4</v>
      </c>
      <c r="J79" s="7">
        <v>207.75</v>
      </c>
      <c r="K79" s="7">
        <v>10.39</v>
      </c>
      <c r="L79" s="7">
        <v>43.63</v>
      </c>
      <c r="M79" s="2">
        <v>5</v>
      </c>
    </row>
    <row r="80" spans="1:13" x14ac:dyDescent="0.3">
      <c r="A80" s="4" t="s">
        <v>150</v>
      </c>
      <c r="B80" s="2" t="s">
        <v>198</v>
      </c>
      <c r="C80" s="2" t="s">
        <v>198</v>
      </c>
      <c r="D80" s="2" t="s">
        <v>154</v>
      </c>
      <c r="E80" s="2">
        <v>0.253</v>
      </c>
      <c r="F80" s="2">
        <v>0.24</v>
      </c>
      <c r="G80" s="2">
        <v>0.25</v>
      </c>
      <c r="H80" s="2">
        <v>20</v>
      </c>
      <c r="I80" s="2">
        <v>5</v>
      </c>
      <c r="J80" s="2">
        <v>256.86</v>
      </c>
      <c r="K80" s="2">
        <v>12.84</v>
      </c>
      <c r="L80" s="2">
        <v>53.94</v>
      </c>
      <c r="M80" s="2">
        <v>5</v>
      </c>
    </row>
    <row r="81" spans="1:13" x14ac:dyDescent="0.3">
      <c r="A81" s="4" t="s">
        <v>155</v>
      </c>
      <c r="B81" s="2" t="s">
        <v>199</v>
      </c>
      <c r="C81" s="2" t="s">
        <v>199</v>
      </c>
      <c r="D81" s="2" t="s">
        <v>156</v>
      </c>
      <c r="E81" s="2">
        <v>2.7410000000000001</v>
      </c>
      <c r="F81" s="2">
        <v>2.6040000000000001</v>
      </c>
      <c r="G81" s="2">
        <v>6.25</v>
      </c>
      <c r="H81" s="2">
        <v>2</v>
      </c>
      <c r="I81" s="2">
        <v>12.5</v>
      </c>
      <c r="J81" s="2">
        <v>655.19000000000005</v>
      </c>
      <c r="K81" s="2">
        <v>65.52</v>
      </c>
      <c r="L81" s="2">
        <v>144.13999999999999</v>
      </c>
      <c r="M81" s="2">
        <v>10</v>
      </c>
    </row>
    <row r="82" spans="1:13" x14ac:dyDescent="0.3">
      <c r="A82" s="6" t="s">
        <v>155</v>
      </c>
      <c r="B82" s="7" t="s">
        <v>200</v>
      </c>
      <c r="C82" s="2" t="s">
        <v>200</v>
      </c>
      <c r="D82" s="7" t="s">
        <v>157</v>
      </c>
      <c r="E82" s="7">
        <v>4.194</v>
      </c>
      <c r="F82" s="7">
        <v>3.984</v>
      </c>
      <c r="G82" s="7">
        <v>1.26</v>
      </c>
      <c r="H82" s="7">
        <v>12</v>
      </c>
      <c r="I82" s="7">
        <v>15.12</v>
      </c>
      <c r="J82" s="7">
        <v>797.95</v>
      </c>
      <c r="K82" s="7">
        <v>79.8</v>
      </c>
      <c r="L82" s="7">
        <v>175.55</v>
      </c>
      <c r="M82" s="2">
        <v>10</v>
      </c>
    </row>
    <row r="83" spans="1:13" x14ac:dyDescent="0.3">
      <c r="A83" s="4" t="s">
        <v>155</v>
      </c>
      <c r="B83" s="2" t="s">
        <v>201</v>
      </c>
      <c r="C83" s="2" t="s">
        <v>201</v>
      </c>
      <c r="D83" s="2" t="s">
        <v>158</v>
      </c>
      <c r="E83" s="2">
        <v>11.116</v>
      </c>
      <c r="F83" s="2">
        <v>10.56</v>
      </c>
      <c r="G83" s="2">
        <v>6.48</v>
      </c>
      <c r="H83" s="2">
        <v>8</v>
      </c>
      <c r="I83" s="2">
        <v>51.84</v>
      </c>
      <c r="J83" s="2">
        <v>2715.66</v>
      </c>
      <c r="K83" s="2">
        <v>271.57</v>
      </c>
      <c r="L83" s="2">
        <v>597.45000000000005</v>
      </c>
      <c r="M83" s="2">
        <v>10</v>
      </c>
    </row>
    <row r="84" spans="1:13" x14ac:dyDescent="0.3">
      <c r="A84" s="6" t="s">
        <v>155</v>
      </c>
      <c r="B84" s="7" t="s">
        <v>159</v>
      </c>
      <c r="C84" s="2" t="s">
        <v>276</v>
      </c>
      <c r="D84" s="7" t="s">
        <v>160</v>
      </c>
      <c r="E84" s="7">
        <v>22.097000000000001</v>
      </c>
      <c r="F84" s="7">
        <v>20.992000000000001</v>
      </c>
      <c r="G84" s="7">
        <v>6.48</v>
      </c>
      <c r="H84" s="7">
        <v>16</v>
      </c>
      <c r="I84" s="7">
        <v>103.68</v>
      </c>
      <c r="J84" s="7">
        <v>5430.48</v>
      </c>
      <c r="K84" s="7">
        <v>543.04999999999995</v>
      </c>
      <c r="L84" s="7">
        <v>1194.71</v>
      </c>
      <c r="M84" s="2">
        <v>10</v>
      </c>
    </row>
    <row r="85" spans="1:13" x14ac:dyDescent="0.3">
      <c r="A85" s="4" t="s">
        <v>155</v>
      </c>
      <c r="B85" s="2" t="s">
        <v>202</v>
      </c>
      <c r="C85" s="2" t="s">
        <v>202</v>
      </c>
      <c r="D85" s="2" t="s">
        <v>161</v>
      </c>
      <c r="E85" s="2">
        <v>57.158000000000001</v>
      </c>
      <c r="F85" s="2">
        <v>54.3</v>
      </c>
      <c r="G85" s="2">
        <v>5.8</v>
      </c>
      <c r="H85" s="2">
        <v>30</v>
      </c>
      <c r="I85" s="2">
        <v>174</v>
      </c>
      <c r="J85" s="2">
        <v>9237.76</v>
      </c>
      <c r="K85" s="5">
        <f>SUM(923.78,-0.02)</f>
        <v>923.76</v>
      </c>
      <c r="L85" s="5">
        <f>SUM(2032.31,-0.01)</f>
        <v>2032.3</v>
      </c>
      <c r="M85" s="2">
        <v>10</v>
      </c>
    </row>
    <row r="86" spans="1:13" x14ac:dyDescent="0.3">
      <c r="A86" s="4" t="s">
        <v>162</v>
      </c>
      <c r="B86" s="2" t="s">
        <v>203</v>
      </c>
      <c r="C86" s="2" t="s">
        <v>203</v>
      </c>
      <c r="D86" s="2" t="s">
        <v>163</v>
      </c>
      <c r="E86" s="2">
        <v>2.3580000000000001</v>
      </c>
      <c r="F86" s="2">
        <v>2.2400000000000002</v>
      </c>
      <c r="G86" s="2">
        <v>2.19</v>
      </c>
      <c r="H86" s="2">
        <v>10</v>
      </c>
      <c r="I86" s="2">
        <v>21.9</v>
      </c>
      <c r="J86" s="2">
        <v>1132.78</v>
      </c>
      <c r="K86" s="2">
        <v>56.64</v>
      </c>
      <c r="L86" s="2">
        <v>237.88</v>
      </c>
      <c r="M86" s="2">
        <v>5</v>
      </c>
    </row>
    <row r="87" spans="1:13" x14ac:dyDescent="0.3">
      <c r="A87" s="4" t="s">
        <v>162</v>
      </c>
      <c r="B87" s="2" t="s">
        <v>164</v>
      </c>
      <c r="C87" s="2" t="s">
        <v>277</v>
      </c>
      <c r="D87" s="2" t="s">
        <v>165</v>
      </c>
      <c r="E87" s="2">
        <v>4.6950000000000003</v>
      </c>
      <c r="F87" s="2">
        <v>4.46</v>
      </c>
      <c r="G87" s="2">
        <v>2.19</v>
      </c>
      <c r="H87" s="2">
        <v>20</v>
      </c>
      <c r="I87" s="2">
        <v>43.8</v>
      </c>
      <c r="J87" s="2">
        <v>2265.44</v>
      </c>
      <c r="K87" s="2">
        <v>113.27</v>
      </c>
      <c r="L87" s="5">
        <f>SUM(475.74,0.01)</f>
        <v>475.75</v>
      </c>
      <c r="M87" s="2">
        <v>5</v>
      </c>
    </row>
    <row r="88" spans="1:13" x14ac:dyDescent="0.3">
      <c r="A88" s="4" t="s">
        <v>166</v>
      </c>
      <c r="B88" s="2" t="s">
        <v>167</v>
      </c>
      <c r="C88" s="2" t="s">
        <v>278</v>
      </c>
      <c r="D88" s="2" t="s">
        <v>168</v>
      </c>
      <c r="E88" s="2">
        <v>17.773</v>
      </c>
      <c r="F88" s="2">
        <v>16.884</v>
      </c>
      <c r="G88" s="2">
        <v>28</v>
      </c>
      <c r="H88" s="2">
        <v>6</v>
      </c>
      <c r="I88" s="2">
        <v>168</v>
      </c>
      <c r="J88" s="2">
        <v>8687.89</v>
      </c>
      <c r="K88" s="2">
        <v>434.39</v>
      </c>
      <c r="L88" s="2">
        <v>1824.46</v>
      </c>
      <c r="M88" s="2">
        <v>5</v>
      </c>
    </row>
    <row r="89" spans="1:13" x14ac:dyDescent="0.3">
      <c r="A89" s="6" t="s">
        <v>169</v>
      </c>
      <c r="B89" s="7" t="s">
        <v>170</v>
      </c>
      <c r="C89" s="2" t="s">
        <v>279</v>
      </c>
      <c r="D89" s="7" t="s">
        <v>171</v>
      </c>
      <c r="E89" s="7">
        <v>7.5789999999999997</v>
      </c>
      <c r="F89" s="7">
        <v>7.2</v>
      </c>
      <c r="G89" s="7">
        <v>6.49</v>
      </c>
      <c r="H89" s="7">
        <v>6</v>
      </c>
      <c r="I89" s="7">
        <v>38.94</v>
      </c>
      <c r="J89" s="7">
        <v>2035.12</v>
      </c>
      <c r="K89" s="7">
        <v>101.76</v>
      </c>
      <c r="L89" s="7">
        <v>427.38</v>
      </c>
      <c r="M89" s="2">
        <v>5</v>
      </c>
    </row>
    <row r="90" spans="1:13" x14ac:dyDescent="0.3">
      <c r="A90" s="4" t="s">
        <v>169</v>
      </c>
      <c r="B90" s="2" t="s">
        <v>204</v>
      </c>
      <c r="C90" s="2" t="s">
        <v>204</v>
      </c>
      <c r="D90" s="2" t="s">
        <v>172</v>
      </c>
      <c r="E90" s="2">
        <v>3.613</v>
      </c>
      <c r="F90" s="2">
        <v>3.4319999999999999</v>
      </c>
      <c r="G90" s="2">
        <v>5.5</v>
      </c>
      <c r="H90" s="2">
        <v>4</v>
      </c>
      <c r="I90" s="2">
        <v>22</v>
      </c>
      <c r="J90" s="2">
        <v>1145.6500000000001</v>
      </c>
      <c r="K90" s="2">
        <v>57.28</v>
      </c>
      <c r="L90" s="2">
        <v>240.59</v>
      </c>
      <c r="M90" s="2">
        <v>5</v>
      </c>
    </row>
    <row r="91" spans="1:13" x14ac:dyDescent="0.3">
      <c r="A91" s="4" t="s">
        <v>169</v>
      </c>
      <c r="B91" s="2" t="s">
        <v>205</v>
      </c>
      <c r="C91" s="2" t="s">
        <v>205</v>
      </c>
      <c r="D91" s="2" t="s">
        <v>172</v>
      </c>
      <c r="E91" s="2">
        <v>3.6669999999999998</v>
      </c>
      <c r="F91" s="2">
        <v>3.484</v>
      </c>
      <c r="G91" s="2">
        <v>5.5</v>
      </c>
      <c r="H91" s="2">
        <v>4</v>
      </c>
      <c r="I91" s="2">
        <v>22</v>
      </c>
      <c r="J91" s="2">
        <v>1145.98</v>
      </c>
      <c r="K91" s="2">
        <v>57.3</v>
      </c>
      <c r="L91" s="2">
        <v>240.66</v>
      </c>
      <c r="M91" s="2">
        <v>5</v>
      </c>
    </row>
    <row r="92" spans="1:13" x14ac:dyDescent="0.3">
      <c r="A92" s="4" t="s">
        <v>169</v>
      </c>
      <c r="B92" s="2" t="s">
        <v>173</v>
      </c>
      <c r="C92" s="2" t="s">
        <v>280</v>
      </c>
      <c r="D92" s="2" t="s">
        <v>171</v>
      </c>
      <c r="E92" s="2">
        <v>10.598000000000001</v>
      </c>
      <c r="F92" s="2">
        <v>10.068</v>
      </c>
      <c r="G92" s="2">
        <v>7.75</v>
      </c>
      <c r="H92" s="2">
        <v>6</v>
      </c>
      <c r="I92" s="2">
        <v>46.5</v>
      </c>
      <c r="J92" s="2">
        <v>2439.79</v>
      </c>
      <c r="K92" s="2">
        <v>121.99</v>
      </c>
      <c r="L92" s="5">
        <f>SUM(512.36,-0.02)</f>
        <v>512.34</v>
      </c>
      <c r="M92" s="2">
        <v>5</v>
      </c>
    </row>
    <row r="93" spans="1:13" x14ac:dyDescent="0.3">
      <c r="A93" s="6" t="s">
        <v>174</v>
      </c>
      <c r="B93" s="7" t="s">
        <v>175</v>
      </c>
      <c r="C93" s="2" t="s">
        <v>281</v>
      </c>
      <c r="D93" s="7" t="s">
        <v>176</v>
      </c>
      <c r="E93" s="7">
        <v>0.11799999999999999</v>
      </c>
      <c r="F93" s="7">
        <v>0.112</v>
      </c>
      <c r="G93" s="7">
        <v>3.1</v>
      </c>
      <c r="H93" s="7">
        <v>4</v>
      </c>
      <c r="I93" s="7">
        <v>12.4</v>
      </c>
      <c r="J93" s="7">
        <v>633.87</v>
      </c>
      <c r="K93" s="7">
        <v>31.69</v>
      </c>
      <c r="L93" s="7">
        <v>133.11000000000001</v>
      </c>
      <c r="M93" s="2">
        <v>5</v>
      </c>
    </row>
    <row r="94" spans="1:13" x14ac:dyDescent="0.3">
      <c r="A94" s="4" t="s">
        <v>174</v>
      </c>
      <c r="B94" s="2" t="s">
        <v>206</v>
      </c>
      <c r="C94" s="2" t="s">
        <v>206</v>
      </c>
      <c r="D94" s="2" t="s">
        <v>177</v>
      </c>
      <c r="E94" s="2">
        <v>0.92800000000000005</v>
      </c>
      <c r="F94" s="2">
        <v>0.88200000000000001</v>
      </c>
      <c r="G94" s="2">
        <v>8.6</v>
      </c>
      <c r="H94" s="2">
        <v>2</v>
      </c>
      <c r="I94" s="2">
        <v>17.2</v>
      </c>
      <c r="J94" s="2">
        <v>883.96</v>
      </c>
      <c r="K94" s="2">
        <v>44.2</v>
      </c>
      <c r="L94" s="2">
        <v>185.63</v>
      </c>
      <c r="M94" s="2">
        <v>5</v>
      </c>
    </row>
    <row r="95" spans="1:13" x14ac:dyDescent="0.3">
      <c r="A95" s="4" t="s">
        <v>174</v>
      </c>
      <c r="B95" s="2" t="s">
        <v>207</v>
      </c>
      <c r="C95" s="2" t="s">
        <v>207</v>
      </c>
      <c r="D95" s="2" t="s">
        <v>178</v>
      </c>
      <c r="E95" s="2">
        <v>62.283999999999999</v>
      </c>
      <c r="F95" s="2">
        <v>59.17</v>
      </c>
      <c r="G95" s="2">
        <v>30.39</v>
      </c>
      <c r="H95" s="2">
        <v>10</v>
      </c>
      <c r="I95" s="2">
        <v>303.89999999999998</v>
      </c>
      <c r="J95" s="2">
        <v>15902.09</v>
      </c>
      <c r="K95" s="5">
        <f>SUM(795.1,0.01)</f>
        <v>795.11</v>
      </c>
      <c r="L95" s="2">
        <v>3339.44</v>
      </c>
      <c r="M95" s="2">
        <v>5</v>
      </c>
    </row>
    <row r="96" spans="1:13" x14ac:dyDescent="0.3">
      <c r="A96" s="4" t="s">
        <v>179</v>
      </c>
      <c r="B96" s="2" t="s">
        <v>208</v>
      </c>
      <c r="C96" s="2" t="s">
        <v>208</v>
      </c>
      <c r="D96" s="2" t="s">
        <v>180</v>
      </c>
      <c r="E96" s="2">
        <v>11.183</v>
      </c>
      <c r="F96" s="2">
        <v>10.624000000000001</v>
      </c>
      <c r="G96" s="2">
        <v>1.22</v>
      </c>
      <c r="H96" s="2">
        <v>32</v>
      </c>
      <c r="I96" s="2">
        <v>39.04</v>
      </c>
      <c r="J96" s="2">
        <v>2062.5100000000002</v>
      </c>
      <c r="K96" s="2">
        <v>206.25</v>
      </c>
      <c r="L96" s="2">
        <v>453.75</v>
      </c>
      <c r="M96" s="2">
        <v>10</v>
      </c>
    </row>
    <row r="97" spans="1:13" x14ac:dyDescent="0.3">
      <c r="A97" s="6" t="s">
        <v>179</v>
      </c>
      <c r="B97" s="7" t="s">
        <v>209</v>
      </c>
      <c r="C97" s="2" t="s">
        <v>209</v>
      </c>
      <c r="D97" s="7" t="s">
        <v>181</v>
      </c>
      <c r="E97" s="7">
        <v>0.42099999999999999</v>
      </c>
      <c r="F97" s="7">
        <v>0.4</v>
      </c>
      <c r="G97" s="7">
        <v>1.1000000000000001</v>
      </c>
      <c r="H97" s="7">
        <v>2</v>
      </c>
      <c r="I97" s="7">
        <v>2.2000000000000002</v>
      </c>
      <c r="J97" s="7">
        <v>114.93</v>
      </c>
      <c r="K97" s="7">
        <v>11.49</v>
      </c>
      <c r="L97" s="7">
        <v>25.28</v>
      </c>
      <c r="M97" s="2">
        <v>10</v>
      </c>
    </row>
    <row r="98" spans="1:13" x14ac:dyDescent="0.3">
      <c r="A98" s="4" t="s">
        <v>179</v>
      </c>
      <c r="B98" s="2" t="s">
        <v>210</v>
      </c>
      <c r="C98" s="2" t="s">
        <v>210</v>
      </c>
      <c r="D98" s="2" t="s">
        <v>182</v>
      </c>
      <c r="E98" s="2">
        <v>209.852</v>
      </c>
      <c r="F98" s="2">
        <v>199.36</v>
      </c>
      <c r="G98" s="2">
        <v>3.1</v>
      </c>
      <c r="H98" s="2">
        <v>224</v>
      </c>
      <c r="I98" s="2">
        <v>694.4</v>
      </c>
      <c r="J98" s="5">
        <f>SUM(36753.24,0.01)</f>
        <v>36753.25</v>
      </c>
      <c r="K98" s="5">
        <f>SUM(3675.32,0.01)</f>
        <v>3675.3300000000004</v>
      </c>
      <c r="L98" s="5">
        <f>SUM(8085.71,0.01)</f>
        <v>8085.72</v>
      </c>
      <c r="M98" s="2">
        <v>10</v>
      </c>
    </row>
    <row r="99" spans="1:13" x14ac:dyDescent="0.3">
      <c r="A99" s="4" t="s">
        <v>183</v>
      </c>
      <c r="B99" s="2" t="s">
        <v>184</v>
      </c>
      <c r="C99" s="2" t="s">
        <v>282</v>
      </c>
      <c r="D99" s="2" t="s">
        <v>185</v>
      </c>
      <c r="E99" s="2">
        <v>0.13600000000000001</v>
      </c>
      <c r="F99" s="2">
        <v>0.129</v>
      </c>
      <c r="G99" s="2">
        <v>3.3</v>
      </c>
      <c r="H99" s="2">
        <v>1</v>
      </c>
      <c r="I99" s="2">
        <v>3.3</v>
      </c>
      <c r="J99" s="2">
        <v>169.34</v>
      </c>
      <c r="K99" s="2">
        <v>16.93</v>
      </c>
      <c r="L99" s="2">
        <v>37.25</v>
      </c>
      <c r="M99" s="2">
        <v>10</v>
      </c>
    </row>
    <row r="100" spans="1:13" x14ac:dyDescent="0.3">
      <c r="A100" s="6" t="s">
        <v>183</v>
      </c>
      <c r="B100" s="7" t="s">
        <v>211</v>
      </c>
      <c r="C100" s="2" t="s">
        <v>211</v>
      </c>
      <c r="D100" s="7" t="s">
        <v>186</v>
      </c>
      <c r="E100" s="7">
        <v>0.158</v>
      </c>
      <c r="F100" s="7">
        <v>0.15</v>
      </c>
      <c r="G100" s="7">
        <v>1.1000000000000001</v>
      </c>
      <c r="H100" s="7">
        <v>5</v>
      </c>
      <c r="I100" s="7">
        <v>5.5</v>
      </c>
      <c r="J100" s="7">
        <v>281.8</v>
      </c>
      <c r="K100" s="7">
        <v>28.18</v>
      </c>
      <c r="L100" s="7">
        <v>62</v>
      </c>
      <c r="M100" s="7">
        <v>10</v>
      </c>
    </row>
    <row r="101" spans="1:13" x14ac:dyDescent="0.3">
      <c r="E101">
        <f>SUM(E5:E100)</f>
        <v>1874.6499999999994</v>
      </c>
      <c r="F101">
        <f t="shared" ref="F101:M101" si="0">SUM(F5:F100)</f>
        <v>1780.9200000000005</v>
      </c>
      <c r="G101">
        <f t="shared" si="0"/>
        <v>610.95000000000027</v>
      </c>
      <c r="H101">
        <f t="shared" si="0"/>
        <v>2900</v>
      </c>
      <c r="I101">
        <f t="shared" si="0"/>
        <v>11289.700000000003</v>
      </c>
      <c r="J101">
        <f t="shared" si="0"/>
        <v>588037.52000000014</v>
      </c>
      <c r="K101">
        <f t="shared" si="0"/>
        <v>55435.119999999995</v>
      </c>
      <c r="L101">
        <f t="shared" si="0"/>
        <v>128694.54000000002</v>
      </c>
      <c r="M101">
        <f t="shared" si="0"/>
        <v>858</v>
      </c>
    </row>
    <row r="103" spans="1:13" x14ac:dyDescent="0.3">
      <c r="F103" s="9">
        <f>E101/F101</f>
        <v>1.0526301012959587</v>
      </c>
    </row>
    <row r="113" spans="7:13" x14ac:dyDescent="0.3">
      <c r="G113" s="10" t="s">
        <v>283</v>
      </c>
      <c r="H113" s="10" t="s">
        <v>284</v>
      </c>
      <c r="I113" s="10" t="s">
        <v>285</v>
      </c>
      <c r="J113" s="10" t="s">
        <v>286</v>
      </c>
      <c r="K113" s="10" t="s">
        <v>287</v>
      </c>
      <c r="L113" s="10" t="s">
        <v>288</v>
      </c>
      <c r="M113" s="10" t="s">
        <v>289</v>
      </c>
    </row>
    <row r="114" spans="7:13" x14ac:dyDescent="0.3">
      <c r="G114" s="11">
        <v>54083.8</v>
      </c>
      <c r="H114" s="12">
        <v>5</v>
      </c>
      <c r="I114" s="11">
        <v>2704.19</v>
      </c>
      <c r="J114" s="13"/>
      <c r="K114" s="13"/>
      <c r="L114" s="13" t="s">
        <v>290</v>
      </c>
      <c r="M114" s="11">
        <v>11357.6</v>
      </c>
    </row>
    <row r="115" spans="7:13" x14ac:dyDescent="0.3">
      <c r="G115" s="11">
        <v>18983.98</v>
      </c>
      <c r="H115" s="12">
        <v>6.5</v>
      </c>
      <c r="I115" s="11">
        <v>1233.96</v>
      </c>
      <c r="J115" s="13"/>
      <c r="K115" s="13"/>
      <c r="L115" s="13" t="s">
        <v>290</v>
      </c>
      <c r="M115" s="11">
        <v>4043.59</v>
      </c>
    </row>
    <row r="116" spans="7:13" x14ac:dyDescent="0.3">
      <c r="G116" s="11">
        <v>514969.74</v>
      </c>
      <c r="H116" s="12">
        <v>10</v>
      </c>
      <c r="I116" s="11">
        <v>51496.97</v>
      </c>
      <c r="J116" s="13"/>
      <c r="K116" s="13"/>
      <c r="L116" s="13" t="s">
        <v>290</v>
      </c>
      <c r="M116" s="11">
        <v>113293.34</v>
      </c>
    </row>
    <row r="117" spans="7:13" x14ac:dyDescent="0.3">
      <c r="G117" s="14">
        <f>SUM(G114:G116)</f>
        <v>588037.52</v>
      </c>
      <c r="H117" s="14">
        <f t="shared" ref="H117:M117" si="1">SUM(H114:H116)</f>
        <v>21.5</v>
      </c>
      <c r="I117" s="14">
        <f t="shared" si="1"/>
        <v>55435.12</v>
      </c>
      <c r="J117" s="14">
        <f t="shared" si="1"/>
        <v>0</v>
      </c>
      <c r="K117" s="14">
        <f t="shared" si="1"/>
        <v>0</v>
      </c>
      <c r="L117" s="14">
        <f t="shared" si="1"/>
        <v>0</v>
      </c>
      <c r="M117" s="14">
        <f t="shared" si="1"/>
        <v>128694.53</v>
      </c>
    </row>
  </sheetData>
  <sortState xmlns:xlrd2="http://schemas.microsoft.com/office/spreadsheetml/2017/richdata2" ref="A5:M100">
    <sortCondition sortBy="cellColor" ref="A5:A100" dxfId="0"/>
  </sortState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Філіппова Катерина</cp:lastModifiedBy>
  <dcterms:created xsi:type="dcterms:W3CDTF">2026-07-20T16:39:31Z</dcterms:created>
  <dcterms:modified xsi:type="dcterms:W3CDTF">2026-07-21T13:36:27Z</dcterms:modified>
</cp:coreProperties>
</file>