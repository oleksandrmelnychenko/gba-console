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profiles\groups\Робота 2А\ПОСТАВКИ В УКР\АМГ\2026\П19 osmanli+mayer+aymeks+fss+remi+NRSP+HP\AYMEKS AYM2026000000665 03.07.2026\Розмитнення\"/>
    </mc:Choice>
  </mc:AlternateContent>
  <xr:revisionPtr revIDLastSave="0" documentId="13_ncr:1_{4D086CD5-64EB-49AB-8138-6DC6D16EE4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5" i="1" l="1"/>
  <c r="G45" i="1"/>
  <c r="H45" i="1"/>
  <c r="I45" i="1"/>
  <c r="J45" i="1"/>
  <c r="K45" i="1"/>
  <c r="E45" i="1"/>
  <c r="E38" i="1" l="1"/>
  <c r="F38" i="1"/>
  <c r="G38" i="1"/>
  <c r="H38" i="1"/>
  <c r="L38" i="1"/>
  <c r="D38" i="1"/>
  <c r="D40" i="1" s="1"/>
  <c r="K31" i="1"/>
  <c r="I31" i="1"/>
  <c r="J29" i="1"/>
  <c r="I25" i="1"/>
  <c r="J22" i="1"/>
  <c r="K5" i="1"/>
  <c r="K38" i="1" s="1"/>
  <c r="J5" i="1"/>
  <c r="J38" i="1" s="1"/>
  <c r="I5" i="1"/>
  <c r="I38" i="1" s="1"/>
</calcChain>
</file>

<file path=xl/sharedStrings.xml><?xml version="1.0" encoding="utf-8"?>
<sst xmlns="http://schemas.openxmlformats.org/spreadsheetml/2006/main" count="122" uniqueCount="84">
  <si>
    <t>Список товарів електронного інвойсу МД № 26UA400040014346U4 від 20.07.2026</t>
  </si>
  <si>
    <t>Код товару</t>
  </si>
  <si>
    <t>Артикул</t>
  </si>
  <si>
    <t>Назва товару</t>
  </si>
  <si>
    <t>Маса брутто</t>
  </si>
  <si>
    <t>Маса нетто</t>
  </si>
  <si>
    <t>Ціна</t>
  </si>
  <si>
    <t>Кіл-ть</t>
  </si>
  <si>
    <t>Вартість</t>
  </si>
  <si>
    <t>Митна вартість</t>
  </si>
  <si>
    <t>Мито</t>
  </si>
  <si>
    <t>СО</t>
  </si>
  <si>
    <t>ПДВ</t>
  </si>
  <si>
    <t>8716903010</t>
  </si>
  <si>
    <t xml:space="preserve">Крило універсальне-120шт, </t>
  </si>
  <si>
    <t xml:space="preserve">Крило універсальне-60шт, </t>
  </si>
  <si>
    <t xml:space="preserve">Крило причіпу-15шт, </t>
  </si>
  <si>
    <t xml:space="preserve">Крило причіпу-20шт, </t>
  </si>
  <si>
    <t xml:space="preserve">Крило причіпу-40шт, </t>
  </si>
  <si>
    <t xml:space="preserve">Крило універсальне-30шт, </t>
  </si>
  <si>
    <t xml:space="preserve">Крило пластик-10шт, </t>
  </si>
  <si>
    <t xml:space="preserve">Крило причіпу-6шт, </t>
  </si>
  <si>
    <t xml:space="preserve">Крило причіпу-10шт, </t>
  </si>
  <si>
    <t xml:space="preserve">Крило причіпу-30шт, </t>
  </si>
  <si>
    <t>3923109000</t>
  </si>
  <si>
    <t xml:space="preserve">Ящик для вогнегасника-20шт, </t>
  </si>
  <si>
    <t xml:space="preserve">Ящик для інструменту пластик-15шт, </t>
  </si>
  <si>
    <t xml:space="preserve">Ящик для інструменту пластик-10шт, </t>
  </si>
  <si>
    <t>3923309000</t>
  </si>
  <si>
    <t xml:space="preserve">Бак для води пластик-4шт, </t>
  </si>
  <si>
    <t>3926300090</t>
  </si>
  <si>
    <t xml:space="preserve">Упор противідкатний пластик-40шт, </t>
  </si>
  <si>
    <t xml:space="preserve">Кріплення упора-6шт, </t>
  </si>
  <si>
    <t xml:space="preserve">Кришка відсіку аккумулятора-2шт, </t>
  </si>
  <si>
    <t>4016995790</t>
  </si>
  <si>
    <t xml:space="preserve">Кріплення крила гума-100шт, </t>
  </si>
  <si>
    <t xml:space="preserve">Защіпка кришки акумулятора-30шт, </t>
  </si>
  <si>
    <t>8708299000</t>
  </si>
  <si>
    <t xml:space="preserve">Крило тягача-30шт, </t>
  </si>
  <si>
    <t xml:space="preserve">Крило тягача-10шт, </t>
  </si>
  <si>
    <t xml:space="preserve">Крило тягача-6шт, </t>
  </si>
  <si>
    <t>8716909090</t>
  </si>
  <si>
    <t xml:space="preserve">Захист стяжного паса кутовий-200шт, </t>
  </si>
  <si>
    <t>11484CNT</t>
  </si>
  <si>
    <t>11515CNT</t>
  </si>
  <si>
    <t>37532CNT</t>
  </si>
  <si>
    <t>14731CNT</t>
  </si>
  <si>
    <t>11516CNT</t>
  </si>
  <si>
    <t>11517CNT</t>
  </si>
  <si>
    <t>11518CNT</t>
  </si>
  <si>
    <t>14744CNT</t>
  </si>
  <si>
    <t>13568CNT</t>
  </si>
  <si>
    <t>11521CNT</t>
  </si>
  <si>
    <t>13564CNT</t>
  </si>
  <si>
    <t>13459CNT</t>
  </si>
  <si>
    <t>37138CNT</t>
  </si>
  <si>
    <t>38773CNT</t>
  </si>
  <si>
    <t>38776CNT</t>
  </si>
  <si>
    <t>11519CNT</t>
  </si>
  <si>
    <t>11785CNT</t>
  </si>
  <si>
    <t>37534CNT</t>
  </si>
  <si>
    <t>12853CNT</t>
  </si>
  <si>
    <t>12855CNT</t>
  </si>
  <si>
    <t>91053-1CNT</t>
  </si>
  <si>
    <t>37536CNT</t>
  </si>
  <si>
    <t>37515CNT</t>
  </si>
  <si>
    <t>10806CNT</t>
  </si>
  <si>
    <t>37499CNT</t>
  </si>
  <si>
    <t>11069CNT</t>
  </si>
  <si>
    <t>92366CNT</t>
  </si>
  <si>
    <t>40248CNT</t>
  </si>
  <si>
    <t>37509CNT</t>
  </si>
  <si>
    <t>10810CNT</t>
  </si>
  <si>
    <t>10809CNT</t>
  </si>
  <si>
    <t>37525CNT</t>
  </si>
  <si>
    <t>37507CNT</t>
  </si>
  <si>
    <t>Таможенная стоимость</t>
  </si>
  <si>
    <t>% пошлины</t>
  </si>
  <si>
    <t>Сумма пошлины</t>
  </si>
  <si>
    <t>% акциза</t>
  </si>
  <si>
    <t>Сумма акциза</t>
  </si>
  <si>
    <t>Ставка НДС</t>
  </si>
  <si>
    <t xml:space="preserve">Сумма НДС 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</si>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</sst>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  <scheme val="minor"/>
    </font>
    <font>
      <b/>
      <sz val="16"/>
      <color rgb="FF080000"/>
      <name val="Times New Roman"/>
      <family val="1"/>
      <charset val="204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2">
    <xf numFmtId="0" fontId="0" fillId="0" borderId="0" xfId="0"/>
    <xf numFmtId="0" fontId="1" fillId="0" borderId="0" xfId="1" applyFont="1"/>
    <xf numFmtId="0" fontId="0" fillId="0" borderId="2" xfId="1" applyFont="1" applyBorder="1"/>
    <xf numFmtId="0" fontId="0" fillId="2" borderId="1" xfId="1" applyFont="1" applyFill="1" applyBorder="1" applyAlignment="1">
      <alignment horizontal="center" vertical="top" wrapText="1"/>
    </xf>
    <xf numFmtId="0" fontId="0" fillId="0" borderId="2" xfId="1" applyFont="1" applyBorder="1" applyAlignment="1">
      <alignment horizontal="center" vertical="top"/>
    </xf>
    <xf numFmtId="0" fontId="2" fillId="0" borderId="2" xfId="1" applyFont="1" applyBorder="1"/>
    <xf numFmtId="0" fontId="0" fillId="3" borderId="0" xfId="0" applyFill="1"/>
    <xf numFmtId="0" fontId="5" fillId="4" borderId="3" xfId="2" applyNumberFormat="1" applyFont="1" applyFill="1" applyBorder="1" applyAlignment="1">
      <alignment horizontal="left" vertical="top"/>
    </xf>
    <xf numFmtId="4" fontId="6" fillId="4" borderId="3" xfId="2" applyNumberFormat="1" applyFont="1" applyFill="1" applyBorder="1" applyAlignment="1">
      <alignment horizontal="right" vertical="top"/>
    </xf>
    <xf numFmtId="2" fontId="6" fillId="4" borderId="3" xfId="2" applyNumberFormat="1" applyFont="1" applyFill="1" applyBorder="1" applyAlignment="1">
      <alignment horizontal="right" vertical="top"/>
    </xf>
    <xf numFmtId="0" fontId="6" fillId="4" borderId="3" xfId="2" applyNumberFormat="1" applyFont="1" applyFill="1" applyBorder="1" applyAlignment="1">
      <alignment horizontal="left" vertical="top"/>
    </xf>
    <xf numFmtId="4" fontId="0" fillId="0" borderId="0" xfId="0" applyNumberFormat="1"/>
  </cellXfs>
  <cellStyles count="3">
    <cellStyle name="Normal" xfId="1" xr:uid="{00000000-0005-0000-0000-000000000000}"/>
    <cellStyle name="Обычный" xfId="0" builtinId="0"/>
    <cellStyle name="Обычный_Sheet1" xfId="2" xr:uid="{DE08A21C-9392-4C5A-B76F-2D851A8464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5"/>
  <sheetViews>
    <sheetView tabSelected="1" topLeftCell="A13" workbookViewId="0">
      <selection activeCell="E45" sqref="E45:K45"/>
    </sheetView>
  </sheetViews>
  <sheetFormatPr defaultRowHeight="13.8" x14ac:dyDescent="0.3"/>
  <cols>
    <col min="1" max="1" width="11.6640625" customWidth="1"/>
    <col min="2" max="2" width="15.6640625" customWidth="1"/>
    <col min="3" max="3" width="39.109375" customWidth="1"/>
    <col min="4" max="6" width="11.33203125" customWidth="1"/>
    <col min="7" max="11" width="11.6640625" customWidth="1"/>
    <col min="12" max="12" width="3.88671875" customWidth="1"/>
  </cols>
  <sheetData>
    <row r="2" spans="1:12" ht="20.399999999999999" x14ac:dyDescent="0.35">
      <c r="A2" s="1" t="s">
        <v>0</v>
      </c>
    </row>
    <row r="4" spans="1:12" ht="27.6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12</v>
      </c>
      <c r="L4" s="3" t="s">
        <v>11</v>
      </c>
    </row>
    <row r="5" spans="1:12" x14ac:dyDescent="0.3">
      <c r="A5" s="4" t="s">
        <v>13</v>
      </c>
      <c r="B5" s="2" t="s">
        <v>43</v>
      </c>
      <c r="C5" s="2" t="s">
        <v>14</v>
      </c>
      <c r="D5" s="2">
        <v>476.64</v>
      </c>
      <c r="E5" s="2">
        <v>450</v>
      </c>
      <c r="F5" s="2">
        <v>6.5</v>
      </c>
      <c r="G5" s="2">
        <v>120</v>
      </c>
      <c r="H5" s="2">
        <v>780</v>
      </c>
      <c r="I5" s="5">
        <f>SUM(42773.5,0.01)</f>
        <v>42773.51</v>
      </c>
      <c r="J5" s="5">
        <f>SUM(2138.68,-0.01)</f>
        <v>2138.6699999999996</v>
      </c>
      <c r="K5" s="5">
        <f>SUM(8982.44,-0.02)</f>
        <v>8982.42</v>
      </c>
      <c r="L5" s="2">
        <v>5</v>
      </c>
    </row>
    <row r="6" spans="1:12" x14ac:dyDescent="0.3">
      <c r="A6" s="4" t="s">
        <v>13</v>
      </c>
      <c r="B6" s="2" t="s">
        <v>44</v>
      </c>
      <c r="C6" s="2" t="s">
        <v>15</v>
      </c>
      <c r="D6" s="2">
        <v>212.88</v>
      </c>
      <c r="E6" s="2">
        <v>201</v>
      </c>
      <c r="F6" s="2">
        <v>6</v>
      </c>
      <c r="G6" s="2">
        <v>60</v>
      </c>
      <c r="H6" s="2">
        <v>360</v>
      </c>
      <c r="I6" s="2">
        <v>19697.669999999998</v>
      </c>
      <c r="J6" s="2">
        <v>984.88</v>
      </c>
      <c r="K6" s="2">
        <v>4136.51</v>
      </c>
      <c r="L6" s="2">
        <v>5</v>
      </c>
    </row>
    <row r="7" spans="1:12" x14ac:dyDescent="0.3">
      <c r="A7" s="4" t="s">
        <v>13</v>
      </c>
      <c r="B7" s="2" t="s">
        <v>45</v>
      </c>
      <c r="C7" s="2" t="s">
        <v>16</v>
      </c>
      <c r="D7" s="2">
        <v>67.53</v>
      </c>
      <c r="E7" s="2">
        <v>63.75</v>
      </c>
      <c r="F7" s="2">
        <v>7.5</v>
      </c>
      <c r="G7" s="2">
        <v>15</v>
      </c>
      <c r="H7" s="2">
        <v>112.5</v>
      </c>
      <c r="I7" s="2">
        <v>6161.74</v>
      </c>
      <c r="J7" s="2">
        <v>308.08999999999997</v>
      </c>
      <c r="K7" s="2">
        <v>1293.97</v>
      </c>
      <c r="L7" s="2">
        <v>5</v>
      </c>
    </row>
    <row r="8" spans="1:12" x14ac:dyDescent="0.3">
      <c r="A8" s="4" t="s">
        <v>13</v>
      </c>
      <c r="B8" s="2" t="s">
        <v>46</v>
      </c>
      <c r="C8" s="2" t="s">
        <v>17</v>
      </c>
      <c r="D8" s="2">
        <v>32.840000000000003</v>
      </c>
      <c r="E8" s="2">
        <v>31</v>
      </c>
      <c r="F8" s="2">
        <v>3.25</v>
      </c>
      <c r="G8" s="2">
        <v>20</v>
      </c>
      <c r="H8" s="2">
        <v>65</v>
      </c>
      <c r="I8" s="2">
        <v>3521.92</v>
      </c>
      <c r="J8" s="2">
        <v>176.1</v>
      </c>
      <c r="K8" s="2">
        <v>739.6</v>
      </c>
      <c r="L8" s="2">
        <v>5</v>
      </c>
    </row>
    <row r="9" spans="1:12" x14ac:dyDescent="0.3">
      <c r="A9" s="4" t="s">
        <v>13</v>
      </c>
      <c r="B9" s="2" t="s">
        <v>47</v>
      </c>
      <c r="C9" s="2" t="s">
        <v>18</v>
      </c>
      <c r="D9" s="2">
        <v>250</v>
      </c>
      <c r="E9" s="2">
        <v>236</v>
      </c>
      <c r="F9" s="2">
        <v>10.5</v>
      </c>
      <c r="G9" s="2">
        <v>40</v>
      </c>
      <c r="H9" s="2">
        <v>420</v>
      </c>
      <c r="I9" s="2">
        <v>22990.75</v>
      </c>
      <c r="J9" s="2">
        <v>1149.54</v>
      </c>
      <c r="K9" s="2">
        <v>4828.0600000000004</v>
      </c>
      <c r="L9" s="2">
        <v>5</v>
      </c>
    </row>
    <row r="10" spans="1:12" x14ac:dyDescent="0.3">
      <c r="A10" s="4" t="s">
        <v>13</v>
      </c>
      <c r="B10" s="2" t="s">
        <v>48</v>
      </c>
      <c r="C10" s="2" t="s">
        <v>19</v>
      </c>
      <c r="D10" s="2">
        <v>182.73</v>
      </c>
      <c r="E10" s="2">
        <v>172.5</v>
      </c>
      <c r="F10" s="2">
        <v>9.5</v>
      </c>
      <c r="G10" s="2">
        <v>30</v>
      </c>
      <c r="H10" s="2">
        <v>285</v>
      </c>
      <c r="I10" s="2">
        <v>15681.79</v>
      </c>
      <c r="J10" s="2">
        <v>784.09</v>
      </c>
      <c r="K10" s="2">
        <v>3293.18</v>
      </c>
      <c r="L10" s="2">
        <v>5</v>
      </c>
    </row>
    <row r="11" spans="1:12" x14ac:dyDescent="0.3">
      <c r="A11" s="4" t="s">
        <v>13</v>
      </c>
      <c r="B11" s="2" t="s">
        <v>49</v>
      </c>
      <c r="C11" s="2" t="s">
        <v>20</v>
      </c>
      <c r="D11" s="2">
        <v>24.89</v>
      </c>
      <c r="E11" s="2">
        <v>23.5</v>
      </c>
      <c r="F11" s="2">
        <v>5.5</v>
      </c>
      <c r="G11" s="2">
        <v>10</v>
      </c>
      <c r="H11" s="2">
        <v>55</v>
      </c>
      <c r="I11" s="2">
        <v>2962.17</v>
      </c>
      <c r="J11" s="2">
        <v>148.11000000000001</v>
      </c>
      <c r="K11" s="2">
        <v>622.05999999999995</v>
      </c>
      <c r="L11" s="2">
        <v>5</v>
      </c>
    </row>
    <row r="12" spans="1:12" x14ac:dyDescent="0.3">
      <c r="A12" s="4" t="s">
        <v>13</v>
      </c>
      <c r="B12" s="2" t="s">
        <v>50</v>
      </c>
      <c r="C12" s="2" t="s">
        <v>21</v>
      </c>
      <c r="D12" s="2">
        <v>74.676000000000002</v>
      </c>
      <c r="E12" s="2">
        <v>70.5</v>
      </c>
      <c r="F12" s="2">
        <v>25</v>
      </c>
      <c r="G12" s="2">
        <v>6</v>
      </c>
      <c r="H12" s="2">
        <v>150</v>
      </c>
      <c r="I12" s="2">
        <v>8120.65</v>
      </c>
      <c r="J12" s="2">
        <v>406.03</v>
      </c>
      <c r="K12" s="2">
        <v>1705.34</v>
      </c>
      <c r="L12" s="2">
        <v>5</v>
      </c>
    </row>
    <row r="13" spans="1:12" x14ac:dyDescent="0.3">
      <c r="A13" s="4" t="s">
        <v>13</v>
      </c>
      <c r="B13" s="2" t="s">
        <v>51</v>
      </c>
      <c r="C13" s="2" t="s">
        <v>22</v>
      </c>
      <c r="D13" s="2">
        <v>30.19</v>
      </c>
      <c r="E13" s="2">
        <v>28.5</v>
      </c>
      <c r="F13" s="2">
        <v>6.75</v>
      </c>
      <c r="G13" s="2">
        <v>10</v>
      </c>
      <c r="H13" s="2">
        <v>67.5</v>
      </c>
      <c r="I13" s="2">
        <v>3633.18</v>
      </c>
      <c r="J13" s="2">
        <v>181.66</v>
      </c>
      <c r="K13" s="2">
        <v>762.97</v>
      </c>
      <c r="L13" s="2">
        <v>5</v>
      </c>
    </row>
    <row r="14" spans="1:12" x14ac:dyDescent="0.3">
      <c r="A14" s="4" t="s">
        <v>13</v>
      </c>
      <c r="B14" s="2" t="s">
        <v>52</v>
      </c>
      <c r="C14" s="2" t="s">
        <v>17</v>
      </c>
      <c r="D14" s="2">
        <v>87.92</v>
      </c>
      <c r="E14" s="2">
        <v>83</v>
      </c>
      <c r="F14" s="2">
        <v>7</v>
      </c>
      <c r="G14" s="2">
        <v>20</v>
      </c>
      <c r="H14" s="2">
        <v>140</v>
      </c>
      <c r="I14" s="2">
        <v>7691.94</v>
      </c>
      <c r="J14" s="2">
        <v>384.6</v>
      </c>
      <c r="K14" s="2">
        <v>1615.31</v>
      </c>
      <c r="L14" s="2">
        <v>5</v>
      </c>
    </row>
    <row r="15" spans="1:12" x14ac:dyDescent="0.3">
      <c r="A15" s="4" t="s">
        <v>13</v>
      </c>
      <c r="B15" s="2" t="s">
        <v>53</v>
      </c>
      <c r="C15" s="2" t="s">
        <v>22</v>
      </c>
      <c r="D15" s="2">
        <v>34.950000000000003</v>
      </c>
      <c r="E15" s="2">
        <v>33</v>
      </c>
      <c r="F15" s="2">
        <v>7</v>
      </c>
      <c r="G15" s="2">
        <v>10</v>
      </c>
      <c r="H15" s="2">
        <v>70</v>
      </c>
      <c r="I15" s="2">
        <v>3790.26</v>
      </c>
      <c r="J15" s="2">
        <v>189.51</v>
      </c>
      <c r="K15" s="2">
        <v>795.95</v>
      </c>
      <c r="L15" s="2">
        <v>5</v>
      </c>
    </row>
    <row r="16" spans="1:12" x14ac:dyDescent="0.3">
      <c r="A16" s="4" t="s">
        <v>13</v>
      </c>
      <c r="B16" s="2" t="s">
        <v>54</v>
      </c>
      <c r="C16" s="2" t="s">
        <v>23</v>
      </c>
      <c r="D16" s="2">
        <v>158.88</v>
      </c>
      <c r="E16" s="2">
        <v>150</v>
      </c>
      <c r="F16" s="2">
        <v>9</v>
      </c>
      <c r="G16" s="2">
        <v>30</v>
      </c>
      <c r="H16" s="2">
        <v>270</v>
      </c>
      <c r="I16" s="2">
        <v>14768.43</v>
      </c>
      <c r="J16" s="2">
        <v>738.42</v>
      </c>
      <c r="K16" s="2">
        <v>3101.37</v>
      </c>
      <c r="L16" s="2">
        <v>5</v>
      </c>
    </row>
    <row r="17" spans="1:12" x14ac:dyDescent="0.3">
      <c r="A17" s="4" t="s">
        <v>13</v>
      </c>
      <c r="B17" s="2" t="s">
        <v>55</v>
      </c>
      <c r="C17" s="2" t="s">
        <v>22</v>
      </c>
      <c r="D17" s="2">
        <v>15.88</v>
      </c>
      <c r="E17" s="2">
        <v>15</v>
      </c>
      <c r="F17" s="2">
        <v>4.75</v>
      </c>
      <c r="G17" s="2">
        <v>10</v>
      </c>
      <c r="H17" s="2">
        <v>47.5</v>
      </c>
      <c r="I17" s="2">
        <v>2523.5100000000002</v>
      </c>
      <c r="J17" s="2">
        <v>126.18</v>
      </c>
      <c r="K17" s="2">
        <v>529.94000000000005</v>
      </c>
      <c r="L17" s="2">
        <v>5</v>
      </c>
    </row>
    <row r="18" spans="1:12" x14ac:dyDescent="0.3">
      <c r="A18" s="4" t="s">
        <v>13</v>
      </c>
      <c r="B18" s="2" t="s">
        <v>56</v>
      </c>
      <c r="C18" s="2" t="s">
        <v>17</v>
      </c>
      <c r="D18" s="2">
        <v>42.36</v>
      </c>
      <c r="E18" s="2">
        <v>40</v>
      </c>
      <c r="F18" s="2">
        <v>5.5</v>
      </c>
      <c r="G18" s="2">
        <v>20</v>
      </c>
      <c r="H18" s="2">
        <v>110</v>
      </c>
      <c r="I18" s="2">
        <v>5878.46</v>
      </c>
      <c r="J18" s="2">
        <v>293.92</v>
      </c>
      <c r="K18" s="2">
        <v>1234.48</v>
      </c>
      <c r="L18" s="2">
        <v>5</v>
      </c>
    </row>
    <row r="19" spans="1:12" x14ac:dyDescent="0.3">
      <c r="A19" s="4" t="s">
        <v>13</v>
      </c>
      <c r="B19" s="2" t="s">
        <v>57</v>
      </c>
      <c r="C19" s="2" t="s">
        <v>22</v>
      </c>
      <c r="D19" s="2">
        <v>16.95</v>
      </c>
      <c r="E19" s="2">
        <v>16</v>
      </c>
      <c r="F19" s="2">
        <v>4.5</v>
      </c>
      <c r="G19" s="2">
        <v>10</v>
      </c>
      <c r="H19" s="2">
        <v>45</v>
      </c>
      <c r="I19" s="2">
        <v>2402.48</v>
      </c>
      <c r="J19" s="2">
        <v>120.12</v>
      </c>
      <c r="K19" s="2">
        <v>504.52</v>
      </c>
      <c r="L19" s="2">
        <v>5</v>
      </c>
    </row>
    <row r="20" spans="1:12" x14ac:dyDescent="0.3">
      <c r="A20" s="4" t="s">
        <v>24</v>
      </c>
      <c r="B20" s="2" t="s">
        <v>58</v>
      </c>
      <c r="C20" s="2" t="s">
        <v>25</v>
      </c>
      <c r="D20" s="2">
        <v>64.62</v>
      </c>
      <c r="E20" s="2">
        <v>61</v>
      </c>
      <c r="F20" s="2">
        <v>8.5</v>
      </c>
      <c r="G20" s="2">
        <v>20</v>
      </c>
      <c r="H20" s="2">
        <v>170</v>
      </c>
      <c r="I20" s="2">
        <v>9079.66</v>
      </c>
      <c r="J20" s="2">
        <v>590.17999999999995</v>
      </c>
      <c r="K20" s="2">
        <v>1933.97</v>
      </c>
      <c r="L20" s="2">
        <v>6.5</v>
      </c>
    </row>
    <row r="21" spans="1:12" x14ac:dyDescent="0.3">
      <c r="A21" s="4" t="s">
        <v>24</v>
      </c>
      <c r="B21" s="2" t="s">
        <v>59</v>
      </c>
      <c r="C21" s="2" t="s">
        <v>26</v>
      </c>
      <c r="D21" s="2">
        <v>104.07</v>
      </c>
      <c r="E21" s="2">
        <v>98.25</v>
      </c>
      <c r="F21" s="2">
        <v>20</v>
      </c>
      <c r="G21" s="2">
        <v>15</v>
      </c>
      <c r="H21" s="2">
        <v>300</v>
      </c>
      <c r="I21" s="2">
        <v>15961.32</v>
      </c>
      <c r="J21" s="2">
        <v>1037.49</v>
      </c>
      <c r="K21" s="2">
        <v>3399.76</v>
      </c>
      <c r="L21" s="2">
        <v>6.5</v>
      </c>
    </row>
    <row r="22" spans="1:12" x14ac:dyDescent="0.3">
      <c r="A22" s="4" t="s">
        <v>24</v>
      </c>
      <c r="B22" s="2" t="s">
        <v>60</v>
      </c>
      <c r="C22" s="2" t="s">
        <v>26</v>
      </c>
      <c r="D22" s="2">
        <v>140.61000000000001</v>
      </c>
      <c r="E22" s="2">
        <v>132.75</v>
      </c>
      <c r="F22" s="2">
        <v>24.5</v>
      </c>
      <c r="G22" s="2">
        <v>15</v>
      </c>
      <c r="H22" s="2">
        <v>367.5</v>
      </c>
      <c r="I22" s="2">
        <v>19633.77</v>
      </c>
      <c r="J22" s="5">
        <f>SUM(1276.2,-0.02)</f>
        <v>1276.18</v>
      </c>
      <c r="K22" s="2">
        <v>4181.99</v>
      </c>
      <c r="L22" s="2">
        <v>6.5</v>
      </c>
    </row>
    <row r="23" spans="1:12" x14ac:dyDescent="0.3">
      <c r="A23" s="4" t="s">
        <v>24</v>
      </c>
      <c r="B23" s="2" t="s">
        <v>61</v>
      </c>
      <c r="C23" s="2" t="s">
        <v>27</v>
      </c>
      <c r="D23" s="2">
        <v>141.41</v>
      </c>
      <c r="E23" s="2">
        <v>133.5</v>
      </c>
      <c r="F23" s="2">
        <v>35</v>
      </c>
      <c r="G23" s="2">
        <v>10</v>
      </c>
      <c r="H23" s="2">
        <v>350</v>
      </c>
      <c r="I23" s="2">
        <v>18745.169999999998</v>
      </c>
      <c r="J23" s="2">
        <v>1218.44</v>
      </c>
      <c r="K23" s="2">
        <v>3992.72</v>
      </c>
      <c r="L23" s="2">
        <v>6.5</v>
      </c>
    </row>
    <row r="24" spans="1:12" x14ac:dyDescent="0.3">
      <c r="A24" s="4" t="s">
        <v>28</v>
      </c>
      <c r="B24" s="2" t="s">
        <v>62</v>
      </c>
      <c r="C24" s="2" t="s">
        <v>29</v>
      </c>
      <c r="D24" s="2">
        <v>14.827999999999999</v>
      </c>
      <c r="E24" s="2">
        <v>14</v>
      </c>
      <c r="F24" s="2">
        <v>11</v>
      </c>
      <c r="G24" s="2">
        <v>4</v>
      </c>
      <c r="H24" s="2">
        <v>44</v>
      </c>
      <c r="I24" s="2">
        <v>2338.3000000000002</v>
      </c>
      <c r="J24" s="2">
        <v>151.99</v>
      </c>
      <c r="K24" s="2">
        <v>498.06</v>
      </c>
      <c r="L24" s="2">
        <v>6.5</v>
      </c>
    </row>
    <row r="25" spans="1:12" x14ac:dyDescent="0.3">
      <c r="A25" s="4" t="s">
        <v>30</v>
      </c>
      <c r="B25" s="2" t="s">
        <v>63</v>
      </c>
      <c r="C25" s="2" t="s">
        <v>31</v>
      </c>
      <c r="D25" s="2">
        <v>91.04</v>
      </c>
      <c r="E25" s="2">
        <v>86</v>
      </c>
      <c r="F25" s="2">
        <v>5</v>
      </c>
      <c r="G25" s="2">
        <v>40</v>
      </c>
      <c r="H25" s="2">
        <v>200</v>
      </c>
      <c r="I25" s="5">
        <f>SUM(10774.81,-0.01)</f>
        <v>10774.8</v>
      </c>
      <c r="J25" s="2">
        <v>700.36</v>
      </c>
      <c r="K25" s="2">
        <v>2295.0300000000002</v>
      </c>
      <c r="L25" s="2">
        <v>6.5</v>
      </c>
    </row>
    <row r="26" spans="1:12" x14ac:dyDescent="0.3">
      <c r="A26" s="4" t="s">
        <v>30</v>
      </c>
      <c r="B26" s="2" t="s">
        <v>64</v>
      </c>
      <c r="C26" s="2" t="s">
        <v>32</v>
      </c>
      <c r="D26" s="2">
        <v>3.4980000000000002</v>
      </c>
      <c r="E26" s="2">
        <v>3.3</v>
      </c>
      <c r="F26" s="2">
        <v>2</v>
      </c>
      <c r="G26" s="2">
        <v>6</v>
      </c>
      <c r="H26" s="2">
        <v>12</v>
      </c>
      <c r="I26" s="2">
        <v>634.34</v>
      </c>
      <c r="J26" s="2">
        <v>41.23</v>
      </c>
      <c r="K26" s="2">
        <v>135.11000000000001</v>
      </c>
      <c r="L26" s="2">
        <v>6.5</v>
      </c>
    </row>
    <row r="27" spans="1:12" x14ac:dyDescent="0.3">
      <c r="A27" s="4" t="s">
        <v>30</v>
      </c>
      <c r="B27" s="2" t="s">
        <v>65</v>
      </c>
      <c r="C27" s="2" t="s">
        <v>33</v>
      </c>
      <c r="D27" s="2">
        <v>3.2839999999999998</v>
      </c>
      <c r="E27" s="2">
        <v>3.1</v>
      </c>
      <c r="F27" s="2">
        <v>6.25</v>
      </c>
      <c r="G27" s="2">
        <v>2</v>
      </c>
      <c r="H27" s="2">
        <v>12.5</v>
      </c>
      <c r="I27" s="2">
        <v>658.55</v>
      </c>
      <c r="J27" s="2">
        <v>42.81</v>
      </c>
      <c r="K27" s="2">
        <v>140.27000000000001</v>
      </c>
      <c r="L27" s="2">
        <v>6.5</v>
      </c>
    </row>
    <row r="28" spans="1:12" x14ac:dyDescent="0.3">
      <c r="A28" s="4" t="s">
        <v>30</v>
      </c>
      <c r="B28" s="2" t="s">
        <v>66</v>
      </c>
      <c r="C28" s="2" t="s">
        <v>33</v>
      </c>
      <c r="D28" s="2">
        <v>3.23</v>
      </c>
      <c r="E28" s="2">
        <v>3.05</v>
      </c>
      <c r="F28" s="2">
        <v>5.75</v>
      </c>
      <c r="G28" s="2">
        <v>2</v>
      </c>
      <c r="H28" s="2">
        <v>11.5</v>
      </c>
      <c r="I28" s="2">
        <v>607.16</v>
      </c>
      <c r="J28" s="2">
        <v>39.47</v>
      </c>
      <c r="K28" s="2">
        <v>129.33000000000001</v>
      </c>
      <c r="L28" s="2">
        <v>6.5</v>
      </c>
    </row>
    <row r="29" spans="1:12" x14ac:dyDescent="0.3">
      <c r="A29" s="4" t="s">
        <v>34</v>
      </c>
      <c r="B29" s="2" t="s">
        <v>67</v>
      </c>
      <c r="C29" s="2" t="s">
        <v>35</v>
      </c>
      <c r="D29" s="2">
        <v>6.4</v>
      </c>
      <c r="E29" s="2">
        <v>6</v>
      </c>
      <c r="F29" s="2">
        <v>0.5</v>
      </c>
      <c r="G29" s="2">
        <v>100</v>
      </c>
      <c r="H29" s="2">
        <v>50</v>
      </c>
      <c r="I29" s="2">
        <v>2592.5500000000002</v>
      </c>
      <c r="J29" s="5">
        <f>SUM(259.26,-0.01)</f>
        <v>259.25</v>
      </c>
      <c r="K29" s="2">
        <v>570.36</v>
      </c>
      <c r="L29" s="2">
        <v>10</v>
      </c>
    </row>
    <row r="30" spans="1:12" x14ac:dyDescent="0.3">
      <c r="A30" s="4" t="s">
        <v>34</v>
      </c>
      <c r="B30" s="2" t="s">
        <v>68</v>
      </c>
      <c r="C30" s="2" t="s">
        <v>36</v>
      </c>
      <c r="D30" s="2">
        <v>1.92</v>
      </c>
      <c r="E30" s="2">
        <v>1.8</v>
      </c>
      <c r="F30" s="2">
        <v>0.55000000000000004</v>
      </c>
      <c r="G30" s="2">
        <v>30</v>
      </c>
      <c r="H30" s="2">
        <v>16.5</v>
      </c>
      <c r="I30" s="2">
        <v>854.35</v>
      </c>
      <c r="J30" s="2">
        <v>85.44</v>
      </c>
      <c r="K30" s="2">
        <v>187.96</v>
      </c>
      <c r="L30" s="2">
        <v>10</v>
      </c>
    </row>
    <row r="31" spans="1:12" x14ac:dyDescent="0.3">
      <c r="A31" s="4" t="s">
        <v>37</v>
      </c>
      <c r="B31" s="2" t="s">
        <v>69</v>
      </c>
      <c r="C31" s="2" t="s">
        <v>38</v>
      </c>
      <c r="D31" s="2">
        <v>79.44</v>
      </c>
      <c r="E31" s="2">
        <v>75</v>
      </c>
      <c r="F31" s="2">
        <v>10</v>
      </c>
      <c r="G31" s="2">
        <v>30</v>
      </c>
      <c r="H31" s="2">
        <v>300</v>
      </c>
      <c r="I31" s="5">
        <f>SUM(15809.03,0.01)</f>
        <v>15809.04</v>
      </c>
      <c r="J31" s="2">
        <v>790.45</v>
      </c>
      <c r="K31" s="5">
        <f>SUM(3319.9,-0.01)</f>
        <v>3319.89</v>
      </c>
      <c r="L31" s="2">
        <v>5</v>
      </c>
    </row>
    <row r="32" spans="1:12" x14ac:dyDescent="0.3">
      <c r="A32" s="4" t="s">
        <v>37</v>
      </c>
      <c r="B32" s="2" t="s">
        <v>70</v>
      </c>
      <c r="C32" s="2" t="s">
        <v>39</v>
      </c>
      <c r="D32" s="2">
        <v>40.25</v>
      </c>
      <c r="E32" s="2">
        <v>38</v>
      </c>
      <c r="F32" s="2">
        <v>5.5</v>
      </c>
      <c r="G32" s="2">
        <v>10</v>
      </c>
      <c r="H32" s="2">
        <v>55</v>
      </c>
      <c r="I32" s="2">
        <v>3057.14</v>
      </c>
      <c r="J32" s="2">
        <v>152.86000000000001</v>
      </c>
      <c r="K32" s="2">
        <v>642</v>
      </c>
      <c r="L32" s="2">
        <v>5</v>
      </c>
    </row>
    <row r="33" spans="1:12" x14ac:dyDescent="0.3">
      <c r="A33" s="4" t="s">
        <v>37</v>
      </c>
      <c r="B33" s="2" t="s">
        <v>71</v>
      </c>
      <c r="C33" s="2" t="s">
        <v>39</v>
      </c>
      <c r="D33" s="2">
        <v>25.95</v>
      </c>
      <c r="E33" s="2">
        <v>24.5</v>
      </c>
      <c r="F33" s="2">
        <v>8.25</v>
      </c>
      <c r="G33" s="2">
        <v>10</v>
      </c>
      <c r="H33" s="2">
        <v>82.5</v>
      </c>
      <c r="I33" s="2">
        <v>4372.8599999999997</v>
      </c>
      <c r="J33" s="2">
        <v>218.64</v>
      </c>
      <c r="K33" s="2">
        <v>918.3</v>
      </c>
      <c r="L33" s="2">
        <v>5</v>
      </c>
    </row>
    <row r="34" spans="1:12" x14ac:dyDescent="0.3">
      <c r="A34" s="4" t="s">
        <v>37</v>
      </c>
      <c r="B34" s="2" t="s">
        <v>72</v>
      </c>
      <c r="C34" s="2" t="s">
        <v>40</v>
      </c>
      <c r="D34" s="2">
        <v>15.252000000000001</v>
      </c>
      <c r="E34" s="2">
        <v>14.4</v>
      </c>
      <c r="F34" s="2">
        <v>7.5</v>
      </c>
      <c r="G34" s="2">
        <v>6</v>
      </c>
      <c r="H34" s="2">
        <v>45</v>
      </c>
      <c r="I34" s="2">
        <v>2391.98</v>
      </c>
      <c r="J34" s="2">
        <v>119.6</v>
      </c>
      <c r="K34" s="2">
        <v>502.32</v>
      </c>
      <c r="L34" s="2">
        <v>5</v>
      </c>
    </row>
    <row r="35" spans="1:12" x14ac:dyDescent="0.3">
      <c r="A35" s="4" t="s">
        <v>37</v>
      </c>
      <c r="B35" s="2" t="s">
        <v>73</v>
      </c>
      <c r="C35" s="2" t="s">
        <v>40</v>
      </c>
      <c r="D35" s="2">
        <v>15.252000000000001</v>
      </c>
      <c r="E35" s="2">
        <v>14.4</v>
      </c>
      <c r="F35" s="2">
        <v>7.5</v>
      </c>
      <c r="G35" s="2">
        <v>6</v>
      </c>
      <c r="H35" s="2">
        <v>45</v>
      </c>
      <c r="I35" s="2">
        <v>2391.98</v>
      </c>
      <c r="J35" s="2">
        <v>119.6</v>
      </c>
      <c r="K35" s="2">
        <v>502.32</v>
      </c>
      <c r="L35" s="2">
        <v>5</v>
      </c>
    </row>
    <row r="36" spans="1:12" x14ac:dyDescent="0.3">
      <c r="A36" s="4" t="s">
        <v>37</v>
      </c>
      <c r="B36" s="2" t="s">
        <v>74</v>
      </c>
      <c r="C36" s="2" t="s">
        <v>40</v>
      </c>
      <c r="D36" s="2">
        <v>13.98</v>
      </c>
      <c r="E36" s="2">
        <v>13.2</v>
      </c>
      <c r="F36" s="2">
        <v>8.25</v>
      </c>
      <c r="G36" s="2">
        <v>6</v>
      </c>
      <c r="H36" s="2">
        <v>49.5</v>
      </c>
      <c r="I36" s="2">
        <v>2613.88</v>
      </c>
      <c r="J36" s="2">
        <v>130.69</v>
      </c>
      <c r="K36" s="2">
        <v>548.91</v>
      </c>
      <c r="L36" s="2">
        <v>5</v>
      </c>
    </row>
    <row r="37" spans="1:12" x14ac:dyDescent="0.3">
      <c r="A37" s="4" t="s">
        <v>41</v>
      </c>
      <c r="B37" s="2" t="s">
        <v>75</v>
      </c>
      <c r="C37" s="2" t="s">
        <v>42</v>
      </c>
      <c r="D37" s="2">
        <v>42.4</v>
      </c>
      <c r="E37" s="2">
        <v>40</v>
      </c>
      <c r="F37" s="2">
        <v>0.8</v>
      </c>
      <c r="G37" s="2">
        <v>200</v>
      </c>
      <c r="H37" s="2">
        <v>160</v>
      </c>
      <c r="I37" s="2">
        <v>8431.68</v>
      </c>
      <c r="J37" s="2">
        <v>843.17</v>
      </c>
      <c r="K37" s="2">
        <v>1854.97</v>
      </c>
      <c r="L37" s="2">
        <v>10</v>
      </c>
    </row>
    <row r="38" spans="1:12" x14ac:dyDescent="0.3">
      <c r="D38">
        <f>SUM(D5:D37)</f>
        <v>2516.75</v>
      </c>
      <c r="E38">
        <f t="shared" ref="E38:L38" si="0">SUM(E5:E37)</f>
        <v>2376.0000000000005</v>
      </c>
      <c r="F38">
        <f t="shared" si="0"/>
        <v>285.10000000000002</v>
      </c>
      <c r="G38">
        <f t="shared" si="0"/>
        <v>923</v>
      </c>
      <c r="H38">
        <f t="shared" si="0"/>
        <v>5248.5</v>
      </c>
      <c r="I38">
        <f t="shared" si="0"/>
        <v>283546.98999999993</v>
      </c>
      <c r="J38">
        <f t="shared" si="0"/>
        <v>15947.770000000002</v>
      </c>
      <c r="K38">
        <f t="shared" si="0"/>
        <v>59898.950000000004</v>
      </c>
      <c r="L38">
        <f t="shared" si="0"/>
        <v>193.5</v>
      </c>
    </row>
    <row r="40" spans="1:12" x14ac:dyDescent="0.3">
      <c r="D40" s="6">
        <f>D38/E38</f>
        <v>1.0592382154882154</v>
      </c>
    </row>
    <row r="41" spans="1:12" x14ac:dyDescent="0.3">
      <c r="E41" s="7" t="s">
        <v>76</v>
      </c>
      <c r="F41" s="7" t="s">
        <v>77</v>
      </c>
      <c r="G41" s="7" t="s">
        <v>78</v>
      </c>
      <c r="H41" s="7" t="s">
        <v>79</v>
      </c>
      <c r="I41" s="7" t="s">
        <v>80</v>
      </c>
      <c r="J41" s="7" t="s">
        <v>81</v>
      </c>
      <c r="K41" s="7" t="s">
        <v>82</v>
      </c>
    </row>
    <row r="42" spans="1:12" x14ac:dyDescent="0.3">
      <c r="E42" s="8">
        <v>193235.34</v>
      </c>
      <c r="F42" s="9">
        <v>5</v>
      </c>
      <c r="G42" s="8">
        <v>9661.77</v>
      </c>
      <c r="H42" s="10"/>
      <c r="I42" s="10"/>
      <c r="J42" s="10" t="s">
        <v>83</v>
      </c>
      <c r="K42" s="8">
        <v>40579.42</v>
      </c>
    </row>
    <row r="43" spans="1:12" x14ac:dyDescent="0.3">
      <c r="E43" s="8">
        <v>78433.070000000007</v>
      </c>
      <c r="F43" s="9">
        <v>6.5</v>
      </c>
      <c r="G43" s="8">
        <v>5098.1499999999996</v>
      </c>
      <c r="H43" s="10"/>
      <c r="I43" s="10"/>
      <c r="J43" s="10" t="s">
        <v>83</v>
      </c>
      <c r="K43" s="8">
        <v>16706.240000000002</v>
      </c>
    </row>
    <row r="44" spans="1:12" x14ac:dyDescent="0.3">
      <c r="E44" s="8">
        <v>11878.58</v>
      </c>
      <c r="F44" s="9">
        <v>10</v>
      </c>
      <c r="G44" s="8">
        <v>1187.8599999999999</v>
      </c>
      <c r="H44" s="10"/>
      <c r="I44" s="10"/>
      <c r="J44" s="10" t="s">
        <v>83</v>
      </c>
      <c r="K44" s="8">
        <v>2613.29</v>
      </c>
    </row>
    <row r="45" spans="1:12" x14ac:dyDescent="0.3">
      <c r="E45" s="11">
        <f>SUM(E42:E44)</f>
        <v>283546.99000000005</v>
      </c>
      <c r="F45" s="11">
        <f t="shared" ref="F45:K45" si="1">SUM(F42:F44)</f>
        <v>21.5</v>
      </c>
      <c r="G45" s="11">
        <f t="shared" si="1"/>
        <v>15947.78</v>
      </c>
      <c r="H45" s="11">
        <f t="shared" si="1"/>
        <v>0</v>
      </c>
      <c r="I45" s="11">
        <f t="shared" si="1"/>
        <v>0</v>
      </c>
      <c r="J45" s="11">
        <f t="shared" si="1"/>
        <v>0</v>
      </c>
      <c r="K45" s="11">
        <f t="shared" si="1"/>
        <v>59898.950000000004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Філіппова Катерина</cp:lastModifiedBy>
  <dcterms:created xsi:type="dcterms:W3CDTF">2026-07-20T16:39:00Z</dcterms:created>
  <dcterms:modified xsi:type="dcterms:W3CDTF">2026-07-21T13:45:44Z</dcterms:modified>
</cp:coreProperties>
</file>