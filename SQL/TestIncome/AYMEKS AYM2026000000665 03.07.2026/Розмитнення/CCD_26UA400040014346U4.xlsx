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<sst xmlns="http://schemas.openxmlformats.org/spreadsheetml/2006/main" count="102">
  <si>
    <t>Список товарів електронного інвойсу МД № 26UA400040014346U4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</si>
  <si>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</si>
  <si>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</si>
  <si>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</si>
  <si>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</si>
  <si>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</si>
  <si>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</si>
  <si>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</si>
  <si>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</si>
  <si>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</si>
  <si>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</si>
  <si>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</si>
  <si>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</si>
  <si>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</si>
  <si>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</si>
  <si>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</si>
  <si>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</si>
  <si>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</si>
  <si>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</si>
  <si>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</si>
  <si>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</si>
  <si>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</si>
  <si>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</si>
  <si>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</si>
  <si>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</si>
  <si>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</si>
  <si>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</si>
  <si>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8716903010</t>
  </si>
  <si>
    <t>11484СNТ</t>
  </si>
  <si>
    <t xml:space="preserve">Крило універсальне-120шт, </t>
  </si>
  <si>
    <t>TR</t>
  </si>
  <si>
    <t>AYMEKS IC VE DIS TICARET LTD. STI.</t>
  </si>
  <si>
    <t>CONTECH</t>
  </si>
  <si>
    <t>796</t>
  </si>
  <si>
    <t/>
  </si>
  <si>
    <t>11515СNТ</t>
  </si>
  <si>
    <t xml:space="preserve">Крило універсальне-60шт, </t>
  </si>
  <si>
    <t>37532СNТ</t>
  </si>
  <si>
    <t xml:space="preserve">Крило причіпу-15шт, </t>
  </si>
  <si>
    <t>14731СNТ</t>
  </si>
  <si>
    <t xml:space="preserve">Крило причіпу-20шт, </t>
  </si>
  <si>
    <t>11516СNТ</t>
  </si>
  <si>
    <t xml:space="preserve">Крило причіпу-40шт, </t>
  </si>
  <si>
    <t>11517СNТ</t>
  </si>
  <si>
    <t xml:space="preserve">Крило універсальне-30шт, </t>
  </si>
  <si>
    <t>11518СNТ</t>
  </si>
  <si>
    <t xml:space="preserve">Крило пластик-10шт, </t>
  </si>
  <si>
    <t>14744СNТ</t>
  </si>
  <si>
    <t xml:space="preserve">Крило причіпу-6шт, </t>
  </si>
  <si>
    <t>13568СNТ</t>
  </si>
  <si>
    <t xml:space="preserve">Крило причіпу-10шт, </t>
  </si>
  <si>
    <t>11521СNТ</t>
  </si>
  <si>
    <t>13564СNТ</t>
  </si>
  <si>
    <t>13459СNТ</t>
  </si>
  <si>
    <t xml:space="preserve">Крило причіпу-30шт, </t>
  </si>
  <si>
    <t>37138СNТ</t>
  </si>
  <si>
    <t>38773СNТ</t>
  </si>
  <si>
    <t>38776СNТ</t>
  </si>
  <si>
    <t xml:space="preserve">Разом по товару МД № 1</t>
  </si>
  <si>
    <t>3923109000</t>
  </si>
  <si>
    <t>11519СNТ</t>
  </si>
  <si>
    <t xml:space="preserve">Ящик для вогнегасника-20шт, </t>
  </si>
  <si>
    <t>11785СNТ</t>
  </si>
  <si>
    <t xml:space="preserve">Ящик для інструменту пластик-15шт, </t>
  </si>
  <si>
    <t>37534СNТ</t>
  </si>
  <si>
    <t>12853СNТ</t>
  </si>
  <si>
    <t xml:space="preserve">Ящик для інструменту пластик-10шт, </t>
  </si>
  <si>
    <t xml:space="preserve">Разом по товару МД № 2</t>
  </si>
  <si>
    <t>3923309000</t>
  </si>
  <si>
    <t>12855СNТ</t>
  </si>
  <si>
    <t xml:space="preserve">Бак для води пластик-4шт, </t>
  </si>
  <si>
    <t xml:space="preserve">Разом по товару МД № 3</t>
  </si>
  <si>
    <t>3926300090</t>
  </si>
  <si>
    <t>91053-1СNТ</t>
  </si>
  <si>
    <t xml:space="preserve">Упор противідкатний пластик-40шт, </t>
  </si>
  <si>
    <t>37536СNТ</t>
  </si>
  <si>
    <t xml:space="preserve">Кріплення упора-6шт, </t>
  </si>
  <si>
    <t>37515СNТ</t>
  </si>
  <si>
    <t xml:space="preserve">Кришка відсіку аккумулятора-2шт, </t>
  </si>
  <si>
    <t>10806СNТ</t>
  </si>
  <si>
    <t xml:space="preserve">Разом по товару МД № 4</t>
  </si>
  <si>
    <t>4016995790</t>
  </si>
  <si>
    <t>37499СNТ</t>
  </si>
  <si>
    <t xml:space="preserve">Кріплення крила гума-100шт, </t>
  </si>
  <si>
    <t>11069СNТ</t>
  </si>
  <si>
    <t xml:space="preserve">Защіпка кришки акумулятора-30шт, </t>
  </si>
  <si>
    <t xml:space="preserve">Разом по товару МД № 5</t>
  </si>
  <si>
    <t>8708299000</t>
  </si>
  <si>
    <t>92366СNТ</t>
  </si>
  <si>
    <t xml:space="preserve">Крило тягача-30шт, </t>
  </si>
  <si>
    <t>40248СNТ</t>
  </si>
  <si>
    <t xml:space="preserve">Крило тягача-10шт, </t>
  </si>
  <si>
    <t>37509СNТ</t>
  </si>
  <si>
    <t>10810СNТ</t>
  </si>
  <si>
    <t xml:space="preserve">Крило тягача-6шт, </t>
  </si>
  <si>
    <t>10809СNТ</t>
  </si>
  <si>
    <t>37525СNТ</t>
  </si>
  <si>
    <t xml:space="preserve">Разом по товару МД № 6</t>
  </si>
  <si>
    <t>8716909090</t>
  </si>
  <si>
    <t>37507СNТ</t>
  </si>
  <si>
    <t xml:space="preserve">Захист стяжного паса кутовий-200шт, </t>
  </si>
  <si>
    <t xml:space="preserve">Разом по товару МД № 7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</si>
</sst>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50" fontId="0" fillId="0" borderId="4" xfId="0" applyFont="1" applyBorder="1" applyAlignment="1"/>
    <xf numFmtId="0" fontId="0" fillId="0" borderId="3" xfId="0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2" xfId="0" applyAlignment="1">
      <alignment horizontal="center" vertical="top" wrapText="1"/>
    </xf>
    <xf numFmtId="0" fontId="0" fillId="0" borderId="4" xfId="0" applyBorder="1">
      <alignment horizontal="center" vertical="top"/>
    </xf>
    <xf>
      <protection locked="0"/>
    </xf>
    <xf numFmtId="0" fontId="0" fillId="0" borderId="6" xfId="0" applyBorder="1"/>
    <xf numFmtId="0" fontId="2" fillId="0" borderId="4" xfId="0" applyBorder="1"/>
    <xf numFmtId="0" fontId="0" fillId="3" borderId="7" xfId="0" applyBorder="1"/>
    <xf numFmtId="0" fontId="0" fillId="3" borderId="8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44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8" t="s">
        <v>27</v>
      </c>
      <c r="C5" s="2">
        <v>1</v>
      </c>
      <c r="D5" s="2"/>
      <c r="E5" s="2" t="s">
        <v>28</v>
      </c>
      <c r="F5" s="2" t="s">
        <v>29</v>
      </c>
      <c r="G5" s="8" t="s">
        <v>30</v>
      </c>
      <c r="H5" s="2" t="s">
        <v>31</v>
      </c>
      <c r="I5" s="2" t="s">
        <v>32</v>
      </c>
      <c r="J5" s="2">
        <v>476.64</v>
      </c>
      <c r="K5" s="2">
        <v>450</v>
      </c>
      <c r="L5" s="2">
        <v>6.5</v>
      </c>
      <c r="M5" s="2">
        <v>120</v>
      </c>
      <c r="N5" s="6" t="s">
        <v>33</v>
      </c>
      <c r="O5" s="10" t="s">
        <v>34</v>
      </c>
      <c r="P5" s="2">
        <v>780</v>
      </c>
      <c r="Q5" s="2">
        <v>0</v>
      </c>
      <c r="R5" s="8" t="s">
        <v>34</v>
      </c>
      <c r="S5" s="2"/>
      <c r="T5" s="11">
        <f>SUM(42773.5,0.01)</f>
        <v>0</v>
      </c>
      <c r="U5" s="11">
        <f>SUM(2138.68,-0.01)</f>
        <v>0</v>
      </c>
      <c r="V5" s="2"/>
      <c r="W5" s="2"/>
      <c r="X5" s="2"/>
      <c r="Y5" s="11">
        <f>SUM(8982.44,-0.02)</f>
        <v>0</v>
      </c>
      <c r="Z5" s="2"/>
      <c r="AA5" s="4">
        <v>53894.62</v>
      </c>
    </row>
    <row r="6" ht="15">
      <c r="A6">
        <v>2</v>
      </c>
      <c r="B6" s="8"/>
      <c r="C6" s="2">
        <v>1</v>
      </c>
      <c r="D6" s="2"/>
      <c r="E6" s="2" t="s">
        <v>35</v>
      </c>
      <c r="F6" s="2" t="s">
        <v>36</v>
      </c>
      <c r="G6" s="8" t="s">
        <v>30</v>
      </c>
      <c r="H6" s="2" t="s">
        <v>31</v>
      </c>
      <c r="I6" s="2" t="s">
        <v>32</v>
      </c>
      <c r="J6" s="2">
        <v>212.88</v>
      </c>
      <c r="K6" s="2">
        <v>201</v>
      </c>
      <c r="L6" s="2">
        <v>6</v>
      </c>
      <c r="M6" s="2">
        <v>60</v>
      </c>
      <c r="N6" s="6" t="s">
        <v>33</v>
      </c>
      <c r="O6" s="10" t="s">
        <v>34</v>
      </c>
      <c r="P6" s="2">
        <v>360</v>
      </c>
      <c r="Q6" s="2">
        <v>0</v>
      </c>
      <c r="R6" s="8" t="s">
        <v>34</v>
      </c>
      <c r="S6" s="2"/>
      <c r="T6" s="2">
        <v>19697.67</v>
      </c>
      <c r="U6" s="2">
        <v>984.88</v>
      </c>
      <c r="V6" s="2"/>
      <c r="W6" s="2"/>
      <c r="X6" s="2"/>
      <c r="Y6" s="2">
        <v>4136.51</v>
      </c>
      <c r="Z6" s="2"/>
      <c r="AA6" s="4">
        <v>24819.06</v>
      </c>
    </row>
    <row r="7" ht="15">
      <c r="A7">
        <v>3</v>
      </c>
      <c r="B7" s="8"/>
      <c r="C7" s="2">
        <v>1</v>
      </c>
      <c r="D7" s="2"/>
      <c r="E7" s="2" t="s">
        <v>37</v>
      </c>
      <c r="F7" s="2" t="s">
        <v>38</v>
      </c>
      <c r="G7" s="8" t="s">
        <v>30</v>
      </c>
      <c r="H7" s="2" t="s">
        <v>31</v>
      </c>
      <c r="I7" s="2" t="s">
        <v>32</v>
      </c>
      <c r="J7" s="2">
        <v>67.53</v>
      </c>
      <c r="K7" s="2">
        <v>63.75</v>
      </c>
      <c r="L7" s="2">
        <v>7.5</v>
      </c>
      <c r="M7" s="2">
        <v>15</v>
      </c>
      <c r="N7" s="6" t="s">
        <v>33</v>
      </c>
      <c r="O7" s="10" t="s">
        <v>34</v>
      </c>
      <c r="P7" s="2">
        <v>112.5</v>
      </c>
      <c r="Q7" s="2">
        <v>0</v>
      </c>
      <c r="R7" s="8" t="s">
        <v>34</v>
      </c>
      <c r="S7" s="2"/>
      <c r="T7" s="2">
        <v>6161.74</v>
      </c>
      <c r="U7" s="2">
        <v>308.09</v>
      </c>
      <c r="V7" s="2"/>
      <c r="W7" s="2"/>
      <c r="X7" s="2"/>
      <c r="Y7" s="2">
        <v>1293.97</v>
      </c>
      <c r="Z7" s="2"/>
      <c r="AA7" s="4">
        <v>7763.8</v>
      </c>
    </row>
    <row r="8" ht="15">
      <c r="A8">
        <v>4</v>
      </c>
      <c r="B8" s="8"/>
      <c r="C8" s="2">
        <v>1</v>
      </c>
      <c r="D8" s="2"/>
      <c r="E8" s="2" t="s">
        <v>39</v>
      </c>
      <c r="F8" s="2" t="s">
        <v>40</v>
      </c>
      <c r="G8" s="8" t="s">
        <v>30</v>
      </c>
      <c r="H8" s="2" t="s">
        <v>31</v>
      </c>
      <c r="I8" s="2" t="s">
        <v>32</v>
      </c>
      <c r="J8" s="2">
        <v>32.84</v>
      </c>
      <c r="K8" s="2">
        <v>31</v>
      </c>
      <c r="L8" s="2">
        <v>3.25</v>
      </c>
      <c r="M8" s="2">
        <v>20</v>
      </c>
      <c r="N8" s="6" t="s">
        <v>33</v>
      </c>
      <c r="O8" s="10" t="s">
        <v>34</v>
      </c>
      <c r="P8" s="2">
        <v>65</v>
      </c>
      <c r="Q8" s="2">
        <v>0</v>
      </c>
      <c r="R8" s="8" t="s">
        <v>34</v>
      </c>
      <c r="S8" s="2"/>
      <c r="T8" s="2">
        <v>3521.92</v>
      </c>
      <c r="U8" s="2">
        <v>176.1</v>
      </c>
      <c r="V8" s="2"/>
      <c r="W8" s="2"/>
      <c r="X8" s="2"/>
      <c r="Y8" s="2">
        <v>739.6</v>
      </c>
      <c r="Z8" s="2"/>
      <c r="AA8" s="4">
        <v>4437.62</v>
      </c>
    </row>
    <row r="9" ht="15">
      <c r="A9">
        <v>5</v>
      </c>
      <c r="B9" s="8"/>
      <c r="C9" s="2">
        <v>1</v>
      </c>
      <c r="D9" s="2"/>
      <c r="E9" s="2" t="s">
        <v>41</v>
      </c>
      <c r="F9" s="2" t="s">
        <v>42</v>
      </c>
      <c r="G9" s="8" t="s">
        <v>30</v>
      </c>
      <c r="H9" s="2" t="s">
        <v>31</v>
      </c>
      <c r="I9" s="2" t="s">
        <v>32</v>
      </c>
      <c r="J9" s="2">
        <v>250</v>
      </c>
      <c r="K9" s="2">
        <v>236</v>
      </c>
      <c r="L9" s="2">
        <v>10.5</v>
      </c>
      <c r="M9" s="2">
        <v>40</v>
      </c>
      <c r="N9" s="6" t="s">
        <v>33</v>
      </c>
      <c r="O9" s="10" t="s">
        <v>34</v>
      </c>
      <c r="P9" s="2">
        <v>420</v>
      </c>
      <c r="Q9" s="2">
        <v>0</v>
      </c>
      <c r="R9" s="8" t="s">
        <v>34</v>
      </c>
      <c r="S9" s="2"/>
      <c r="T9" s="2">
        <v>22990.75</v>
      </c>
      <c r="U9" s="2">
        <v>1149.54</v>
      </c>
      <c r="V9" s="2"/>
      <c r="W9" s="2"/>
      <c r="X9" s="2"/>
      <c r="Y9" s="2">
        <v>4828.06</v>
      </c>
      <c r="Z9" s="2"/>
      <c r="AA9" s="4">
        <v>28968.35</v>
      </c>
    </row>
    <row r="10" ht="15">
      <c r="A10">
        <v>6</v>
      </c>
      <c r="B10" s="8"/>
      <c r="C10" s="2">
        <v>1</v>
      </c>
      <c r="D10" s="2"/>
      <c r="E10" s="2" t="s">
        <v>43</v>
      </c>
      <c r="F10" s="2" t="s">
        <v>44</v>
      </c>
      <c r="G10" s="8" t="s">
        <v>30</v>
      </c>
      <c r="H10" s="2" t="s">
        <v>31</v>
      </c>
      <c r="I10" s="2" t="s">
        <v>32</v>
      </c>
      <c r="J10" s="2">
        <v>182.73</v>
      </c>
      <c r="K10" s="2">
        <v>172.5</v>
      </c>
      <c r="L10" s="2">
        <v>9.5</v>
      </c>
      <c r="M10" s="2">
        <v>30</v>
      </c>
      <c r="N10" s="6" t="s">
        <v>33</v>
      </c>
      <c r="O10" s="10" t="s">
        <v>34</v>
      </c>
      <c r="P10" s="2">
        <v>285</v>
      </c>
      <c r="Q10" s="2">
        <v>0</v>
      </c>
      <c r="R10" s="8" t="s">
        <v>34</v>
      </c>
      <c r="S10" s="2"/>
      <c r="T10" s="2">
        <v>15681.79</v>
      </c>
      <c r="U10" s="2">
        <v>784.09</v>
      </c>
      <c r="V10" s="2"/>
      <c r="W10" s="2"/>
      <c r="X10" s="2"/>
      <c r="Y10" s="2">
        <v>3293.18</v>
      </c>
      <c r="Z10" s="2"/>
      <c r="AA10" s="4">
        <v>19759.06</v>
      </c>
    </row>
    <row r="11" ht="15">
      <c r="A11">
        <v>7</v>
      </c>
      <c r="B11" s="8"/>
      <c r="C11" s="2">
        <v>1</v>
      </c>
      <c r="D11" s="2"/>
      <c r="E11" s="2" t="s">
        <v>45</v>
      </c>
      <c r="F11" s="2" t="s">
        <v>46</v>
      </c>
      <c r="G11" s="8" t="s">
        <v>30</v>
      </c>
      <c r="H11" s="2" t="s">
        <v>31</v>
      </c>
      <c r="I11" s="2" t="s">
        <v>32</v>
      </c>
      <c r="J11" s="2">
        <v>24.89</v>
      </c>
      <c r="K11" s="2">
        <v>23.5</v>
      </c>
      <c r="L11" s="2">
        <v>5.5</v>
      </c>
      <c r="M11" s="2">
        <v>10</v>
      </c>
      <c r="N11" s="6" t="s">
        <v>33</v>
      </c>
      <c r="O11" s="10" t="s">
        <v>34</v>
      </c>
      <c r="P11" s="2">
        <v>55</v>
      </c>
      <c r="Q11" s="2">
        <v>0</v>
      </c>
      <c r="R11" s="8" t="s">
        <v>34</v>
      </c>
      <c r="S11" s="2"/>
      <c r="T11" s="2">
        <v>2962.17</v>
      </c>
      <c r="U11" s="2">
        <v>148.11</v>
      </c>
      <c r="V11" s="2"/>
      <c r="W11" s="2"/>
      <c r="X11" s="2"/>
      <c r="Y11" s="2">
        <v>622.06</v>
      </c>
      <c r="Z11" s="2"/>
      <c r="AA11" s="4">
        <v>3732.34</v>
      </c>
    </row>
    <row r="12" ht="15">
      <c r="A12">
        <v>8</v>
      </c>
      <c r="B12" s="8"/>
      <c r="C12" s="2">
        <v>1</v>
      </c>
      <c r="D12" s="2"/>
      <c r="E12" s="2" t="s">
        <v>47</v>
      </c>
      <c r="F12" s="2" t="s">
        <v>48</v>
      </c>
      <c r="G12" s="8" t="s">
        <v>30</v>
      </c>
      <c r="H12" s="2" t="s">
        <v>31</v>
      </c>
      <c r="I12" s="2" t="s">
        <v>32</v>
      </c>
      <c r="J12" s="2">
        <v>74.676</v>
      </c>
      <c r="K12" s="2">
        <v>70.5</v>
      </c>
      <c r="L12" s="2">
        <v>25</v>
      </c>
      <c r="M12" s="2">
        <v>6</v>
      </c>
      <c r="N12" s="6" t="s">
        <v>33</v>
      </c>
      <c r="O12" s="10" t="s">
        <v>34</v>
      </c>
      <c r="P12" s="2">
        <v>150</v>
      </c>
      <c r="Q12" s="2">
        <v>0</v>
      </c>
      <c r="R12" s="8" t="s">
        <v>34</v>
      </c>
      <c r="S12" s="2"/>
      <c r="T12" s="2">
        <v>8120.65</v>
      </c>
      <c r="U12" s="2">
        <v>406.03</v>
      </c>
      <c r="V12" s="2"/>
      <c r="W12" s="2"/>
      <c r="X12" s="2"/>
      <c r="Y12" s="2">
        <v>1705.34</v>
      </c>
      <c r="Z12" s="2"/>
      <c r="AA12" s="4">
        <v>10232.02</v>
      </c>
    </row>
    <row r="13" ht="15">
      <c r="A13">
        <v>9</v>
      </c>
      <c r="B13" s="8"/>
      <c r="C13" s="2">
        <v>1</v>
      </c>
      <c r="D13" s="2"/>
      <c r="E13" s="2" t="s">
        <v>49</v>
      </c>
      <c r="F13" s="2" t="s">
        <v>50</v>
      </c>
      <c r="G13" s="8" t="s">
        <v>30</v>
      </c>
      <c r="H13" s="2" t="s">
        <v>31</v>
      </c>
      <c r="I13" s="2" t="s">
        <v>32</v>
      </c>
      <c r="J13" s="2">
        <v>30.19</v>
      </c>
      <c r="K13" s="2">
        <v>28.5</v>
      </c>
      <c r="L13" s="2">
        <v>6.75</v>
      </c>
      <c r="M13" s="2">
        <v>10</v>
      </c>
      <c r="N13" s="6" t="s">
        <v>33</v>
      </c>
      <c r="O13" s="10" t="s">
        <v>34</v>
      </c>
      <c r="P13" s="2">
        <v>67.5</v>
      </c>
      <c r="Q13" s="2">
        <v>0</v>
      </c>
      <c r="R13" s="8" t="s">
        <v>34</v>
      </c>
      <c r="S13" s="2"/>
      <c r="T13" s="2">
        <v>3633.18</v>
      </c>
      <c r="U13" s="2">
        <v>181.66</v>
      </c>
      <c r="V13" s="2"/>
      <c r="W13" s="2"/>
      <c r="X13" s="2"/>
      <c r="Y13" s="2">
        <v>762.97</v>
      </c>
      <c r="Z13" s="2"/>
      <c r="AA13" s="4">
        <v>4577.81</v>
      </c>
    </row>
    <row r="14" ht="15">
      <c r="A14">
        <v>10</v>
      </c>
      <c r="B14" s="8"/>
      <c r="C14" s="2">
        <v>1</v>
      </c>
      <c r="D14" s="2"/>
      <c r="E14" s="2" t="s">
        <v>51</v>
      </c>
      <c r="F14" s="2" t="s">
        <v>40</v>
      </c>
      <c r="G14" s="8" t="s">
        <v>30</v>
      </c>
      <c r="H14" s="2" t="s">
        <v>31</v>
      </c>
      <c r="I14" s="2" t="s">
        <v>32</v>
      </c>
      <c r="J14" s="2">
        <v>87.92</v>
      </c>
      <c r="K14" s="2">
        <v>83</v>
      </c>
      <c r="L14" s="2">
        <v>7</v>
      </c>
      <c r="M14" s="2">
        <v>20</v>
      </c>
      <c r="N14" s="6" t="s">
        <v>33</v>
      </c>
      <c r="O14" s="10" t="s">
        <v>34</v>
      </c>
      <c r="P14" s="2">
        <v>140</v>
      </c>
      <c r="Q14" s="2">
        <v>0</v>
      </c>
      <c r="R14" s="8" t="s">
        <v>34</v>
      </c>
      <c r="S14" s="2"/>
      <c r="T14" s="2">
        <v>7691.94</v>
      </c>
      <c r="U14" s="2">
        <v>384.6</v>
      </c>
      <c r="V14" s="2"/>
      <c r="W14" s="2"/>
      <c r="X14" s="2"/>
      <c r="Y14" s="2">
        <v>1615.31</v>
      </c>
      <c r="Z14" s="2"/>
      <c r="AA14" s="4">
        <v>9691.85</v>
      </c>
    </row>
    <row r="15" ht="15">
      <c r="A15">
        <v>11</v>
      </c>
      <c r="B15" s="8"/>
      <c r="C15" s="2">
        <v>1</v>
      </c>
      <c r="D15" s="2"/>
      <c r="E15" s="2" t="s">
        <v>52</v>
      </c>
      <c r="F15" s="2" t="s">
        <v>50</v>
      </c>
      <c r="G15" s="8" t="s">
        <v>30</v>
      </c>
      <c r="H15" s="2" t="s">
        <v>31</v>
      </c>
      <c r="I15" s="2" t="s">
        <v>32</v>
      </c>
      <c r="J15" s="2">
        <v>34.95</v>
      </c>
      <c r="K15" s="2">
        <v>33</v>
      </c>
      <c r="L15" s="2">
        <v>7</v>
      </c>
      <c r="M15" s="2">
        <v>10</v>
      </c>
      <c r="N15" s="6" t="s">
        <v>33</v>
      </c>
      <c r="O15" s="10" t="s">
        <v>34</v>
      </c>
      <c r="P15" s="2">
        <v>70</v>
      </c>
      <c r="Q15" s="2">
        <v>0</v>
      </c>
      <c r="R15" s="8" t="s">
        <v>34</v>
      </c>
      <c r="S15" s="2"/>
      <c r="T15" s="2">
        <v>3790.26</v>
      </c>
      <c r="U15" s="2">
        <v>189.51</v>
      </c>
      <c r="V15" s="2"/>
      <c r="W15" s="2"/>
      <c r="X15" s="2"/>
      <c r="Y15" s="2">
        <v>795.95</v>
      </c>
      <c r="Z15" s="2"/>
      <c r="AA15" s="4">
        <v>4775.72</v>
      </c>
    </row>
    <row r="16" ht="15">
      <c r="A16">
        <v>12</v>
      </c>
      <c r="B16" s="8"/>
      <c r="C16" s="2">
        <v>1</v>
      </c>
      <c r="D16" s="2"/>
      <c r="E16" s="2" t="s">
        <v>53</v>
      </c>
      <c r="F16" s="2" t="s">
        <v>54</v>
      </c>
      <c r="G16" s="8" t="s">
        <v>30</v>
      </c>
      <c r="H16" s="2" t="s">
        <v>31</v>
      </c>
      <c r="I16" s="2" t="s">
        <v>32</v>
      </c>
      <c r="J16" s="2">
        <v>158.88</v>
      </c>
      <c r="K16" s="2">
        <v>150</v>
      </c>
      <c r="L16" s="2">
        <v>9</v>
      </c>
      <c r="M16" s="2">
        <v>30</v>
      </c>
      <c r="N16" s="6" t="s">
        <v>33</v>
      </c>
      <c r="O16" s="10" t="s">
        <v>34</v>
      </c>
      <c r="P16" s="2">
        <v>270</v>
      </c>
      <c r="Q16" s="2">
        <v>0</v>
      </c>
      <c r="R16" s="8" t="s">
        <v>34</v>
      </c>
      <c r="S16" s="2"/>
      <c r="T16" s="2">
        <v>14768.43</v>
      </c>
      <c r="U16" s="2">
        <v>738.42</v>
      </c>
      <c r="V16" s="2"/>
      <c r="W16" s="2"/>
      <c r="X16" s="2"/>
      <c r="Y16" s="2">
        <v>3101.37</v>
      </c>
      <c r="Z16" s="2"/>
      <c r="AA16" s="4">
        <v>18608.22</v>
      </c>
    </row>
    <row r="17" ht="15">
      <c r="A17">
        <v>13</v>
      </c>
      <c r="B17" s="8"/>
      <c r="C17" s="2">
        <v>1</v>
      </c>
      <c r="D17" s="2"/>
      <c r="E17" s="2" t="s">
        <v>55</v>
      </c>
      <c r="F17" s="2" t="s">
        <v>50</v>
      </c>
      <c r="G17" s="8" t="s">
        <v>30</v>
      </c>
      <c r="H17" s="2" t="s">
        <v>31</v>
      </c>
      <c r="I17" s="2" t="s">
        <v>32</v>
      </c>
      <c r="J17" s="2">
        <v>15.88</v>
      </c>
      <c r="K17" s="2">
        <v>15</v>
      </c>
      <c r="L17" s="2">
        <v>4.75</v>
      </c>
      <c r="M17" s="2">
        <v>10</v>
      </c>
      <c r="N17" s="6" t="s">
        <v>33</v>
      </c>
      <c r="O17" s="10" t="s">
        <v>34</v>
      </c>
      <c r="P17" s="2">
        <v>47.5</v>
      </c>
      <c r="Q17" s="2">
        <v>0</v>
      </c>
      <c r="R17" s="8" t="s">
        <v>34</v>
      </c>
      <c r="S17" s="2"/>
      <c r="T17" s="2">
        <v>2523.51</v>
      </c>
      <c r="U17" s="2">
        <v>126.18</v>
      </c>
      <c r="V17" s="2"/>
      <c r="W17" s="2"/>
      <c r="X17" s="2"/>
      <c r="Y17" s="2">
        <v>529.94</v>
      </c>
      <c r="Z17" s="2"/>
      <c r="AA17" s="4">
        <v>3179.63</v>
      </c>
    </row>
    <row r="18" ht="15">
      <c r="A18">
        <v>14</v>
      </c>
      <c r="B18" s="8"/>
      <c r="C18" s="2">
        <v>1</v>
      </c>
      <c r="D18" s="2"/>
      <c r="E18" s="2" t="s">
        <v>56</v>
      </c>
      <c r="F18" s="2" t="s">
        <v>40</v>
      </c>
      <c r="G18" s="8" t="s">
        <v>30</v>
      </c>
      <c r="H18" s="2" t="s">
        <v>31</v>
      </c>
      <c r="I18" s="2" t="s">
        <v>32</v>
      </c>
      <c r="J18" s="2">
        <v>42.36</v>
      </c>
      <c r="K18" s="2">
        <v>40</v>
      </c>
      <c r="L18" s="2">
        <v>5.5</v>
      </c>
      <c r="M18" s="2">
        <v>20</v>
      </c>
      <c r="N18" s="6" t="s">
        <v>33</v>
      </c>
      <c r="O18" s="10" t="s">
        <v>34</v>
      </c>
      <c r="P18" s="2">
        <v>110</v>
      </c>
      <c r="Q18" s="2">
        <v>0</v>
      </c>
      <c r="R18" s="8" t="s">
        <v>34</v>
      </c>
      <c r="S18" s="2"/>
      <c r="T18" s="2">
        <v>5878.46</v>
      </c>
      <c r="U18" s="2">
        <v>293.92</v>
      </c>
      <c r="V18" s="2"/>
      <c r="W18" s="2"/>
      <c r="X18" s="2"/>
      <c r="Y18" s="2">
        <v>1234.48</v>
      </c>
      <c r="Z18" s="2"/>
      <c r="AA18" s="4">
        <v>7406.86</v>
      </c>
    </row>
    <row r="19" ht="15">
      <c r="A19">
        <v>15</v>
      </c>
      <c r="B19" s="8"/>
      <c r="C19" s="2">
        <v>1</v>
      </c>
      <c r="D19" s="2"/>
      <c r="E19" s="2" t="s">
        <v>57</v>
      </c>
      <c r="F19" s="2" t="s">
        <v>50</v>
      </c>
      <c r="G19" s="8" t="s">
        <v>30</v>
      </c>
      <c r="H19" s="2" t="s">
        <v>31</v>
      </c>
      <c r="I19" s="2" t="s">
        <v>32</v>
      </c>
      <c r="J19" s="2">
        <v>16.95</v>
      </c>
      <c r="K19" s="2">
        <v>16</v>
      </c>
      <c r="L19" s="2">
        <v>4.5</v>
      </c>
      <c r="M19" s="2">
        <v>10</v>
      </c>
      <c r="N19" s="6" t="s">
        <v>33</v>
      </c>
      <c r="O19" s="10" t="s">
        <v>34</v>
      </c>
      <c r="P19" s="2">
        <v>45</v>
      </c>
      <c r="Q19" s="2">
        <v>0</v>
      </c>
      <c r="R19" s="8" t="s">
        <v>34</v>
      </c>
      <c r="S19" s="2"/>
      <c r="T19" s="2">
        <v>2402.48</v>
      </c>
      <c r="U19" s="2">
        <v>120.12</v>
      </c>
      <c r="V19" s="2"/>
      <c r="W19" s="2"/>
      <c r="X19" s="2"/>
      <c r="Y19" s="2">
        <v>504.52</v>
      </c>
      <c r="Z19" s="2"/>
      <c r="AA19" s="4">
        <v>3027.12</v>
      </c>
    </row>
    <row r="20" ht="15">
      <c r="A20" s="12"/>
      <c r="B20" s="12"/>
      <c r="C20" s="12"/>
      <c r="D20" s="12"/>
      <c r="E20" s="12"/>
      <c r="F20" s="12" t="s">
        <v>58</v>
      </c>
      <c r="G20" s="12"/>
      <c r="H20" s="12"/>
      <c r="I20" s="12"/>
      <c r="J20" s="12">
        <f>SUM(J5:J19)</f>
        <v>0</v>
      </c>
      <c r="K20" s="12">
        <f>SUM(K5:K19)</f>
        <v>0</v>
      </c>
      <c r="L20" s="12"/>
      <c r="M20" s="12">
        <f>SUM(M5:M19)</f>
        <v>0</v>
      </c>
      <c r="N20" s="13"/>
      <c r="O20" s="14"/>
      <c r="P20" s="12">
        <f>SUM(P5:P19)</f>
        <v>0</v>
      </c>
      <c r="Q20" s="12">
        <f>SUM(Q5:Q19)</f>
        <v>0</v>
      </c>
      <c r="R20" s="12"/>
      <c r="S20" s="12">
        <f>SUM(S5:S19)</f>
        <v>0</v>
      </c>
      <c r="T20" s="12"/>
      <c r="U20" s="12"/>
      <c r="V20" s="12"/>
      <c r="W20" s="12"/>
      <c r="X20" s="12"/>
      <c r="Y20" s="12"/>
      <c r="Z20" s="12"/>
      <c r="AA20" s="12"/>
    </row>
    <row r="21" ht="15">
      <c r="A21">
        <v>1</v>
      </c>
      <c r="B21" s="8" t="s">
        <v>59</v>
      </c>
      <c r="C21" s="2">
        <v>2</v>
      </c>
      <c r="D21" s="2"/>
      <c r="E21" s="2" t="s">
        <v>60</v>
      </c>
      <c r="F21" s="2" t="s">
        <v>61</v>
      </c>
      <c r="G21" s="8" t="s">
        <v>30</v>
      </c>
      <c r="H21" s="2" t="s">
        <v>31</v>
      </c>
      <c r="I21" s="2" t="s">
        <v>32</v>
      </c>
      <c r="J21" s="2">
        <v>64.62</v>
      </c>
      <c r="K21" s="2">
        <v>61</v>
      </c>
      <c r="L21" s="2">
        <v>8.5</v>
      </c>
      <c r="M21" s="2">
        <v>20</v>
      </c>
      <c r="N21" s="6" t="s">
        <v>33</v>
      </c>
      <c r="O21" s="10" t="s">
        <v>34</v>
      </c>
      <c r="P21" s="2">
        <v>170</v>
      </c>
      <c r="Q21" s="2">
        <v>0</v>
      </c>
      <c r="R21" s="8" t="s">
        <v>34</v>
      </c>
      <c r="S21" s="2"/>
      <c r="T21" s="2">
        <v>9079.66</v>
      </c>
      <c r="U21" s="2">
        <v>590.18</v>
      </c>
      <c r="V21" s="2"/>
      <c r="W21" s="2"/>
      <c r="X21" s="2"/>
      <c r="Y21" s="2">
        <v>1933.97</v>
      </c>
      <c r="Z21" s="2"/>
      <c r="AA21" s="4">
        <v>11603.81</v>
      </c>
    </row>
    <row r="22" ht="15">
      <c r="A22">
        <v>2</v>
      </c>
      <c r="B22" s="8"/>
      <c r="C22" s="2">
        <v>2</v>
      </c>
      <c r="D22" s="2"/>
      <c r="E22" s="2" t="s">
        <v>62</v>
      </c>
      <c r="F22" s="2" t="s">
        <v>63</v>
      </c>
      <c r="G22" s="8" t="s">
        <v>30</v>
      </c>
      <c r="H22" s="2" t="s">
        <v>31</v>
      </c>
      <c r="I22" s="2" t="s">
        <v>32</v>
      </c>
      <c r="J22" s="2">
        <v>104.07</v>
      </c>
      <c r="K22" s="2">
        <v>98.25</v>
      </c>
      <c r="L22" s="2">
        <v>20</v>
      </c>
      <c r="M22" s="2">
        <v>15</v>
      </c>
      <c r="N22" s="6" t="s">
        <v>33</v>
      </c>
      <c r="O22" s="10" t="s">
        <v>34</v>
      </c>
      <c r="P22" s="2">
        <v>300</v>
      </c>
      <c r="Q22" s="2">
        <v>0</v>
      </c>
      <c r="R22" s="8" t="s">
        <v>34</v>
      </c>
      <c r="S22" s="2"/>
      <c r="T22" s="2">
        <v>15961.32</v>
      </c>
      <c r="U22" s="2">
        <v>1037.49</v>
      </c>
      <c r="V22" s="2"/>
      <c r="W22" s="2"/>
      <c r="X22" s="2"/>
      <c r="Y22" s="2">
        <v>3399.76</v>
      </c>
      <c r="Z22" s="2"/>
      <c r="AA22" s="4">
        <v>20398.57</v>
      </c>
    </row>
    <row r="23" ht="15">
      <c r="A23">
        <v>3</v>
      </c>
      <c r="B23" s="8"/>
      <c r="C23" s="2">
        <v>2</v>
      </c>
      <c r="D23" s="2"/>
      <c r="E23" s="2" t="s">
        <v>64</v>
      </c>
      <c r="F23" s="2" t="s">
        <v>63</v>
      </c>
      <c r="G23" s="8" t="s">
        <v>30</v>
      </c>
      <c r="H23" s="2" t="s">
        <v>31</v>
      </c>
      <c r="I23" s="2" t="s">
        <v>32</v>
      </c>
      <c r="J23" s="2">
        <v>140.61</v>
      </c>
      <c r="K23" s="2">
        <v>132.75</v>
      </c>
      <c r="L23" s="2">
        <v>24.5</v>
      </c>
      <c r="M23" s="2">
        <v>15</v>
      </c>
      <c r="N23" s="6" t="s">
        <v>33</v>
      </c>
      <c r="O23" s="10" t="s">
        <v>34</v>
      </c>
      <c r="P23" s="2">
        <v>367.5</v>
      </c>
      <c r="Q23" s="2">
        <v>0</v>
      </c>
      <c r="R23" s="8" t="s">
        <v>34</v>
      </c>
      <c r="S23" s="2"/>
      <c r="T23" s="2">
        <v>19633.77</v>
      </c>
      <c r="U23" s="11">
        <f>SUM(1276.2,-0.02)</f>
        <v>0</v>
      </c>
      <c r="V23" s="2"/>
      <c r="W23" s="2"/>
      <c r="X23" s="2"/>
      <c r="Y23" s="2">
        <v>4181.99</v>
      </c>
      <c r="Z23" s="2"/>
      <c r="AA23" s="4">
        <v>25091.96</v>
      </c>
    </row>
    <row r="24" ht="15">
      <c r="A24">
        <v>4</v>
      </c>
      <c r="B24" s="8"/>
      <c r="C24" s="2">
        <v>2</v>
      </c>
      <c r="D24" s="2"/>
      <c r="E24" s="2" t="s">
        <v>65</v>
      </c>
      <c r="F24" s="2" t="s">
        <v>66</v>
      </c>
      <c r="G24" s="8" t="s">
        <v>30</v>
      </c>
      <c r="H24" s="2" t="s">
        <v>31</v>
      </c>
      <c r="I24" s="2" t="s">
        <v>32</v>
      </c>
      <c r="J24" s="2">
        <v>141.41</v>
      </c>
      <c r="K24" s="2">
        <v>133.5</v>
      </c>
      <c r="L24" s="2">
        <v>35</v>
      </c>
      <c r="M24" s="2">
        <v>10</v>
      </c>
      <c r="N24" s="6" t="s">
        <v>33</v>
      </c>
      <c r="O24" s="10" t="s">
        <v>34</v>
      </c>
      <c r="P24" s="2">
        <v>350</v>
      </c>
      <c r="Q24" s="2">
        <v>0</v>
      </c>
      <c r="R24" s="8" t="s">
        <v>34</v>
      </c>
      <c r="S24" s="2"/>
      <c r="T24" s="2">
        <v>18745.17</v>
      </c>
      <c r="U24" s="2">
        <v>1218.44</v>
      </c>
      <c r="V24" s="2"/>
      <c r="W24" s="2"/>
      <c r="X24" s="2"/>
      <c r="Y24" s="2">
        <v>3992.72</v>
      </c>
      <c r="Z24" s="2"/>
      <c r="AA24" s="4">
        <v>23956.33</v>
      </c>
    </row>
    <row r="25" ht="15">
      <c r="A25" s="12"/>
      <c r="B25" s="12"/>
      <c r="C25" s="12"/>
      <c r="D25" s="12"/>
      <c r="E25" s="12"/>
      <c r="F25" s="12" t="s">
        <v>67</v>
      </c>
      <c r="G25" s="12"/>
      <c r="H25" s="12"/>
      <c r="I25" s="12"/>
      <c r="J25" s="12">
        <f>SUM(J21:J24)</f>
        <v>0</v>
      </c>
      <c r="K25" s="12">
        <f>SUM(K21:K24)</f>
        <v>0</v>
      </c>
      <c r="L25" s="12"/>
      <c r="M25" s="12">
        <f>SUM(M21:M24)</f>
        <v>0</v>
      </c>
      <c r="N25" s="13"/>
      <c r="O25" s="14"/>
      <c r="P25" s="12">
        <f>SUM(P21:P24)</f>
        <v>0</v>
      </c>
      <c r="Q25" s="12">
        <f>SUM(Q21:Q24)</f>
        <v>0</v>
      </c>
      <c r="R25" s="12"/>
      <c r="S25" s="12">
        <f>SUM(S21:S24)</f>
        <v>0</v>
      </c>
      <c r="T25" s="12"/>
      <c r="U25" s="12"/>
      <c r="V25" s="12"/>
      <c r="W25" s="12"/>
      <c r="X25" s="12"/>
      <c r="Y25" s="12"/>
      <c r="Z25" s="12"/>
      <c r="AA25" s="12"/>
    </row>
    <row r="26" ht="15">
      <c r="A26">
        <v>1</v>
      </c>
      <c r="B26" s="8" t="s">
        <v>68</v>
      </c>
      <c r="C26" s="2">
        <v>3</v>
      </c>
      <c r="D26" s="2"/>
      <c r="E26" s="2" t="s">
        <v>69</v>
      </c>
      <c r="F26" s="2" t="s">
        <v>70</v>
      </c>
      <c r="G26" s="8" t="s">
        <v>30</v>
      </c>
      <c r="H26" s="2" t="s">
        <v>31</v>
      </c>
      <c r="I26" s="2" t="s">
        <v>32</v>
      </c>
      <c r="J26" s="2">
        <v>14.828</v>
      </c>
      <c r="K26" s="2">
        <v>14</v>
      </c>
      <c r="L26" s="2">
        <v>11</v>
      </c>
      <c r="M26" s="2">
        <v>4</v>
      </c>
      <c r="N26" s="6" t="s">
        <v>33</v>
      </c>
      <c r="O26" s="10" t="s">
        <v>34</v>
      </c>
      <c r="P26" s="2">
        <v>44</v>
      </c>
      <c r="Q26" s="2">
        <v>4</v>
      </c>
      <c r="R26" s="8" t="s">
        <v>34</v>
      </c>
      <c r="S26" s="2"/>
      <c r="T26" s="2">
        <v>2338.3</v>
      </c>
      <c r="U26" s="2">
        <v>151.99</v>
      </c>
      <c r="V26" s="2"/>
      <c r="W26" s="2"/>
      <c r="X26" s="2"/>
      <c r="Y26" s="2">
        <v>498.06</v>
      </c>
      <c r="Z26" s="2"/>
      <c r="AA26" s="4">
        <v>2988.35</v>
      </c>
    </row>
    <row r="27" ht="15">
      <c r="A27" s="12"/>
      <c r="B27" s="12"/>
      <c r="C27" s="12"/>
      <c r="D27" s="12"/>
      <c r="E27" s="12"/>
      <c r="F27" s="12" t="s">
        <v>71</v>
      </c>
      <c r="G27" s="12"/>
      <c r="H27" s="12"/>
      <c r="I27" s="12"/>
      <c r="J27" s="12">
        <f>SUM(J26:J26)</f>
        <v>0</v>
      </c>
      <c r="K27" s="12">
        <f>SUM(K26:K26)</f>
        <v>0</v>
      </c>
      <c r="L27" s="12"/>
      <c r="M27" s="12">
        <f>SUM(M26:M26)</f>
        <v>0</v>
      </c>
      <c r="N27" s="13"/>
      <c r="O27" s="14"/>
      <c r="P27" s="12">
        <f>SUM(P26:P26)</f>
        <v>0</v>
      </c>
      <c r="Q27" s="12">
        <f>SUM(Q26:Q26)</f>
        <v>0</v>
      </c>
      <c r="R27" s="12"/>
      <c r="S27" s="12">
        <f>SUM(S26:S26)</f>
        <v>0</v>
      </c>
      <c r="T27" s="12"/>
      <c r="U27" s="12"/>
      <c r="V27" s="12"/>
      <c r="W27" s="12"/>
      <c r="X27" s="12"/>
      <c r="Y27" s="12"/>
      <c r="Z27" s="12"/>
      <c r="AA27" s="12"/>
    </row>
    <row r="28" ht="15">
      <c r="A28">
        <v>1</v>
      </c>
      <c r="B28" s="8" t="s">
        <v>72</v>
      </c>
      <c r="C28" s="2">
        <v>4</v>
      </c>
      <c r="D28" s="2"/>
      <c r="E28" s="2" t="s">
        <v>73</v>
      </c>
      <c r="F28" s="2" t="s">
        <v>74</v>
      </c>
      <c r="G28" s="8" t="s">
        <v>30</v>
      </c>
      <c r="H28" s="2" t="s">
        <v>31</v>
      </c>
      <c r="I28" s="2" t="s">
        <v>32</v>
      </c>
      <c r="J28" s="2">
        <v>91.04</v>
      </c>
      <c r="K28" s="2">
        <v>86</v>
      </c>
      <c r="L28" s="2">
        <v>5</v>
      </c>
      <c r="M28" s="2">
        <v>40</v>
      </c>
      <c r="N28" s="6" t="s">
        <v>33</v>
      </c>
      <c r="O28" s="10" t="s">
        <v>34</v>
      </c>
      <c r="P28" s="2">
        <v>200</v>
      </c>
      <c r="Q28" s="2">
        <v>0</v>
      </c>
      <c r="R28" s="8" t="s">
        <v>34</v>
      </c>
      <c r="S28" s="2"/>
      <c r="T28" s="11">
        <f>SUM(10774.81,-0.01)</f>
        <v>0</v>
      </c>
      <c r="U28" s="2">
        <v>700.36</v>
      </c>
      <c r="V28" s="2"/>
      <c r="W28" s="2"/>
      <c r="X28" s="2"/>
      <c r="Y28" s="2">
        <v>2295.03</v>
      </c>
      <c r="Z28" s="2"/>
      <c r="AA28" s="4">
        <v>13770.2</v>
      </c>
    </row>
    <row r="29" ht="15">
      <c r="A29">
        <v>2</v>
      </c>
      <c r="B29" s="8"/>
      <c r="C29" s="2">
        <v>4</v>
      </c>
      <c r="D29" s="2"/>
      <c r="E29" s="2" t="s">
        <v>75</v>
      </c>
      <c r="F29" s="2" t="s">
        <v>76</v>
      </c>
      <c r="G29" s="8" t="s">
        <v>30</v>
      </c>
      <c r="H29" s="2" t="s">
        <v>31</v>
      </c>
      <c r="I29" s="2" t="s">
        <v>32</v>
      </c>
      <c r="J29" s="2">
        <v>3.498</v>
      </c>
      <c r="K29" s="2">
        <v>3.3</v>
      </c>
      <c r="L29" s="2">
        <v>2</v>
      </c>
      <c r="M29" s="2">
        <v>6</v>
      </c>
      <c r="N29" s="6" t="s">
        <v>33</v>
      </c>
      <c r="O29" s="10" t="s">
        <v>34</v>
      </c>
      <c r="P29" s="2">
        <v>12</v>
      </c>
      <c r="Q29" s="2">
        <v>0</v>
      </c>
      <c r="R29" s="8" t="s">
        <v>34</v>
      </c>
      <c r="S29" s="2"/>
      <c r="T29" s="2">
        <v>634.34</v>
      </c>
      <c r="U29" s="2">
        <v>41.23</v>
      </c>
      <c r="V29" s="2"/>
      <c r="W29" s="2"/>
      <c r="X29" s="2"/>
      <c r="Y29" s="2">
        <v>135.11</v>
      </c>
      <c r="Z29" s="2"/>
      <c r="AA29" s="4">
        <v>810.68</v>
      </c>
    </row>
    <row r="30" ht="15">
      <c r="A30">
        <v>3</v>
      </c>
      <c r="B30" s="8"/>
      <c r="C30" s="2">
        <v>4</v>
      </c>
      <c r="D30" s="2"/>
      <c r="E30" s="2" t="s">
        <v>77</v>
      </c>
      <c r="F30" s="2" t="s">
        <v>78</v>
      </c>
      <c r="G30" s="8" t="s">
        <v>30</v>
      </c>
      <c r="H30" s="2" t="s">
        <v>31</v>
      </c>
      <c r="I30" s="2" t="s">
        <v>32</v>
      </c>
      <c r="J30" s="2">
        <v>3.284</v>
      </c>
      <c r="K30" s="2">
        <v>3.1</v>
      </c>
      <c r="L30" s="2">
        <v>6.25</v>
      </c>
      <c r="M30" s="2">
        <v>2</v>
      </c>
      <c r="N30" s="6" t="s">
        <v>33</v>
      </c>
      <c r="O30" s="10" t="s">
        <v>34</v>
      </c>
      <c r="P30" s="2">
        <v>12.5</v>
      </c>
      <c r="Q30" s="2">
        <v>0</v>
      </c>
      <c r="R30" s="8" t="s">
        <v>34</v>
      </c>
      <c r="S30" s="2"/>
      <c r="T30" s="2">
        <v>658.55</v>
      </c>
      <c r="U30" s="2">
        <v>42.81</v>
      </c>
      <c r="V30" s="2"/>
      <c r="W30" s="2"/>
      <c r="X30" s="2"/>
      <c r="Y30" s="2">
        <v>140.27</v>
      </c>
      <c r="Z30" s="2"/>
      <c r="AA30" s="4">
        <v>841.63</v>
      </c>
    </row>
    <row r="31" ht="15">
      <c r="A31">
        <v>4</v>
      </c>
      <c r="B31" s="8"/>
      <c r="C31" s="2">
        <v>4</v>
      </c>
      <c r="D31" s="2"/>
      <c r="E31" s="2" t="s">
        <v>79</v>
      </c>
      <c r="F31" s="2" t="s">
        <v>78</v>
      </c>
      <c r="G31" s="8" t="s">
        <v>30</v>
      </c>
      <c r="H31" s="2" t="s">
        <v>31</v>
      </c>
      <c r="I31" s="2" t="s">
        <v>32</v>
      </c>
      <c r="J31" s="2">
        <v>3.23</v>
      </c>
      <c r="K31" s="2">
        <v>3.05</v>
      </c>
      <c r="L31" s="2">
        <v>5.75</v>
      </c>
      <c r="M31" s="2">
        <v>2</v>
      </c>
      <c r="N31" s="6" t="s">
        <v>33</v>
      </c>
      <c r="O31" s="10" t="s">
        <v>34</v>
      </c>
      <c r="P31" s="2">
        <v>11.5</v>
      </c>
      <c r="Q31" s="2">
        <v>0</v>
      </c>
      <c r="R31" s="8" t="s">
        <v>34</v>
      </c>
      <c r="S31" s="2"/>
      <c r="T31" s="2">
        <v>607.16</v>
      </c>
      <c r="U31" s="2">
        <v>39.47</v>
      </c>
      <c r="V31" s="2"/>
      <c r="W31" s="2"/>
      <c r="X31" s="2"/>
      <c r="Y31" s="2">
        <v>129.33</v>
      </c>
      <c r="Z31" s="2"/>
      <c r="AA31" s="4">
        <v>775.96</v>
      </c>
    </row>
    <row r="32" ht="15">
      <c r="A32" s="12"/>
      <c r="B32" s="12"/>
      <c r="C32" s="12"/>
      <c r="D32" s="12"/>
      <c r="E32" s="12"/>
      <c r="F32" s="12" t="s">
        <v>80</v>
      </c>
      <c r="G32" s="12"/>
      <c r="H32" s="12"/>
      <c r="I32" s="12"/>
      <c r="J32" s="12">
        <f>SUM(J28:J31)</f>
        <v>0</v>
      </c>
      <c r="K32" s="12">
        <f>SUM(K28:K31)</f>
        <v>0</v>
      </c>
      <c r="L32" s="12"/>
      <c r="M32" s="12">
        <f>SUM(M28:M31)</f>
        <v>0</v>
      </c>
      <c r="N32" s="13"/>
      <c r="O32" s="14"/>
      <c r="P32" s="12">
        <f>SUM(P28:P31)</f>
        <v>0</v>
      </c>
      <c r="Q32" s="12">
        <f>SUM(Q28:Q31)</f>
        <v>0</v>
      </c>
      <c r="R32" s="12"/>
      <c r="S32" s="12">
        <f>SUM(S28:S31)</f>
        <v>0</v>
      </c>
      <c r="T32" s="12"/>
      <c r="U32" s="12"/>
      <c r="V32" s="12"/>
      <c r="W32" s="12"/>
      <c r="X32" s="12"/>
      <c r="Y32" s="12"/>
      <c r="Z32" s="12"/>
      <c r="AA32" s="12"/>
    </row>
    <row r="33" ht="15">
      <c r="A33">
        <v>1</v>
      </c>
      <c r="B33" s="8" t="s">
        <v>81</v>
      </c>
      <c r="C33" s="2">
        <v>5</v>
      </c>
      <c r="D33" s="2"/>
      <c r="E33" s="2" t="s">
        <v>82</v>
      </c>
      <c r="F33" s="2" t="s">
        <v>83</v>
      </c>
      <c r="G33" s="8" t="s">
        <v>30</v>
      </c>
      <c r="H33" s="2" t="s">
        <v>31</v>
      </c>
      <c r="I33" s="2" t="s">
        <v>32</v>
      </c>
      <c r="J33" s="2">
        <v>6.4</v>
      </c>
      <c r="K33" s="2">
        <v>6</v>
      </c>
      <c r="L33" s="2">
        <v>0.5</v>
      </c>
      <c r="M33" s="2">
        <v>100</v>
      </c>
      <c r="N33" s="6" t="s">
        <v>33</v>
      </c>
      <c r="O33" s="10" t="s">
        <v>34</v>
      </c>
      <c r="P33" s="2">
        <v>50</v>
      </c>
      <c r="Q33" s="2">
        <v>0</v>
      </c>
      <c r="R33" s="8" t="s">
        <v>34</v>
      </c>
      <c r="S33" s="2"/>
      <c r="T33" s="2">
        <v>2592.55</v>
      </c>
      <c r="U33" s="11">
        <f>SUM(259.26,-0.01)</f>
        <v>0</v>
      </c>
      <c r="V33" s="2"/>
      <c r="W33" s="2"/>
      <c r="X33" s="2"/>
      <c r="Y33" s="2">
        <v>570.36</v>
      </c>
      <c r="Z33" s="2"/>
      <c r="AA33" s="4">
        <v>3422.17</v>
      </c>
    </row>
    <row r="34" ht="15">
      <c r="A34">
        <v>2</v>
      </c>
      <c r="B34" s="8"/>
      <c r="C34" s="2">
        <v>5</v>
      </c>
      <c r="D34" s="2"/>
      <c r="E34" s="2" t="s">
        <v>84</v>
      </c>
      <c r="F34" s="2" t="s">
        <v>85</v>
      </c>
      <c r="G34" s="8" t="s">
        <v>30</v>
      </c>
      <c r="H34" s="2" t="s">
        <v>31</v>
      </c>
      <c r="I34" s="2" t="s">
        <v>32</v>
      </c>
      <c r="J34" s="2">
        <v>1.92</v>
      </c>
      <c r="K34" s="2">
        <v>1.8</v>
      </c>
      <c r="L34" s="2">
        <v>0.55</v>
      </c>
      <c r="M34" s="2">
        <v>30</v>
      </c>
      <c r="N34" s="6" t="s">
        <v>33</v>
      </c>
      <c r="O34" s="10" t="s">
        <v>34</v>
      </c>
      <c r="P34" s="2">
        <v>16.5</v>
      </c>
      <c r="Q34" s="2">
        <v>0</v>
      </c>
      <c r="R34" s="8" t="s">
        <v>34</v>
      </c>
      <c r="S34" s="2"/>
      <c r="T34" s="2">
        <v>854.35</v>
      </c>
      <c r="U34" s="2">
        <v>85.44</v>
      </c>
      <c r="V34" s="2"/>
      <c r="W34" s="2"/>
      <c r="X34" s="2"/>
      <c r="Y34" s="2">
        <v>187.96</v>
      </c>
      <c r="Z34" s="2"/>
      <c r="AA34" s="4">
        <v>1127.75</v>
      </c>
    </row>
    <row r="35" ht="15">
      <c r="A35" s="12"/>
      <c r="B35" s="12"/>
      <c r="C35" s="12"/>
      <c r="D35" s="12"/>
      <c r="E35" s="12"/>
      <c r="F35" s="12" t="s">
        <v>86</v>
      </c>
      <c r="G35" s="12"/>
      <c r="H35" s="12"/>
      <c r="I35" s="12"/>
      <c r="J35" s="12">
        <f>SUM(J33:J34)</f>
        <v>0</v>
      </c>
      <c r="K35" s="12">
        <f>SUM(K33:K34)</f>
        <v>0</v>
      </c>
      <c r="L35" s="12"/>
      <c r="M35" s="12">
        <f>SUM(M33:M34)</f>
        <v>0</v>
      </c>
      <c r="N35" s="13"/>
      <c r="O35" s="14"/>
      <c r="P35" s="12">
        <f>SUM(P33:P34)</f>
        <v>0</v>
      </c>
      <c r="Q35" s="12">
        <f>SUM(Q33:Q34)</f>
        <v>0</v>
      </c>
      <c r="R35" s="12"/>
      <c r="S35" s="12">
        <f>SUM(S33:S34)</f>
        <v>0</v>
      </c>
      <c r="T35" s="12"/>
      <c r="U35" s="12"/>
      <c r="V35" s="12"/>
      <c r="W35" s="12"/>
      <c r="X35" s="12"/>
      <c r="Y35" s="12"/>
      <c r="Z35" s="12"/>
      <c r="AA35" s="12"/>
    </row>
    <row r="36" ht="15">
      <c r="A36">
        <v>1</v>
      </c>
      <c r="B36" s="8" t="s">
        <v>87</v>
      </c>
      <c r="C36" s="2">
        <v>6</v>
      </c>
      <c r="D36" s="2"/>
      <c r="E36" s="2" t="s">
        <v>88</v>
      </c>
      <c r="F36" s="2" t="s">
        <v>89</v>
      </c>
      <c r="G36" s="8" t="s">
        <v>30</v>
      </c>
      <c r="H36" s="2" t="s">
        <v>31</v>
      </c>
      <c r="I36" s="2" t="s">
        <v>32</v>
      </c>
      <c r="J36" s="2">
        <v>79.44</v>
      </c>
      <c r="K36" s="2">
        <v>75</v>
      </c>
      <c r="L36" s="2">
        <v>10</v>
      </c>
      <c r="M36" s="2">
        <v>30</v>
      </c>
      <c r="N36" s="6" t="s">
        <v>33</v>
      </c>
      <c r="O36" s="10" t="s">
        <v>34</v>
      </c>
      <c r="P36" s="2">
        <v>300</v>
      </c>
      <c r="Q36" s="2">
        <v>0</v>
      </c>
      <c r="R36" s="8" t="s">
        <v>34</v>
      </c>
      <c r="S36" s="2"/>
      <c r="T36" s="11">
        <f>SUM(15809.03,0.01)</f>
        <v>0</v>
      </c>
      <c r="U36" s="2">
        <v>790.45</v>
      </c>
      <c r="V36" s="2"/>
      <c r="W36" s="2"/>
      <c r="X36" s="2"/>
      <c r="Y36" s="11">
        <f>SUM(3319.9,-0.01)</f>
        <v>0</v>
      </c>
      <c r="Z36" s="2"/>
      <c r="AA36" s="4">
        <v>19919.38</v>
      </c>
    </row>
    <row r="37" ht="15">
      <c r="A37">
        <v>2</v>
      </c>
      <c r="B37" s="8"/>
      <c r="C37" s="2">
        <v>6</v>
      </c>
      <c r="D37" s="2"/>
      <c r="E37" s="2" t="s">
        <v>90</v>
      </c>
      <c r="F37" s="2" t="s">
        <v>91</v>
      </c>
      <c r="G37" s="8" t="s">
        <v>30</v>
      </c>
      <c r="H37" s="2" t="s">
        <v>31</v>
      </c>
      <c r="I37" s="2" t="s">
        <v>32</v>
      </c>
      <c r="J37" s="2">
        <v>40.25</v>
      </c>
      <c r="K37" s="2">
        <v>38</v>
      </c>
      <c r="L37" s="2">
        <v>5.5</v>
      </c>
      <c r="M37" s="2">
        <v>10</v>
      </c>
      <c r="N37" s="6" t="s">
        <v>33</v>
      </c>
      <c r="O37" s="10" t="s">
        <v>34</v>
      </c>
      <c r="P37" s="2">
        <v>55</v>
      </c>
      <c r="Q37" s="2">
        <v>0</v>
      </c>
      <c r="R37" s="8" t="s">
        <v>34</v>
      </c>
      <c r="S37" s="2"/>
      <c r="T37" s="2">
        <v>3057.14</v>
      </c>
      <c r="U37" s="2">
        <v>152.86</v>
      </c>
      <c r="V37" s="2"/>
      <c r="W37" s="2"/>
      <c r="X37" s="2"/>
      <c r="Y37" s="2">
        <v>642</v>
      </c>
      <c r="Z37" s="2"/>
      <c r="AA37" s="4">
        <v>3852</v>
      </c>
    </row>
    <row r="38" ht="15">
      <c r="A38">
        <v>3</v>
      </c>
      <c r="B38" s="8"/>
      <c r="C38" s="2">
        <v>6</v>
      </c>
      <c r="D38" s="2"/>
      <c r="E38" s="2" t="s">
        <v>92</v>
      </c>
      <c r="F38" s="2" t="s">
        <v>91</v>
      </c>
      <c r="G38" s="8" t="s">
        <v>30</v>
      </c>
      <c r="H38" s="2" t="s">
        <v>31</v>
      </c>
      <c r="I38" s="2" t="s">
        <v>32</v>
      </c>
      <c r="J38" s="2">
        <v>25.95</v>
      </c>
      <c r="K38" s="2">
        <v>24.5</v>
      </c>
      <c r="L38" s="2">
        <v>8.25</v>
      </c>
      <c r="M38" s="2">
        <v>10</v>
      </c>
      <c r="N38" s="6" t="s">
        <v>33</v>
      </c>
      <c r="O38" s="10" t="s">
        <v>34</v>
      </c>
      <c r="P38" s="2">
        <v>82.5</v>
      </c>
      <c r="Q38" s="2">
        <v>0</v>
      </c>
      <c r="R38" s="8" t="s">
        <v>34</v>
      </c>
      <c r="S38" s="2"/>
      <c r="T38" s="2">
        <v>4372.86</v>
      </c>
      <c r="U38" s="2">
        <v>218.64</v>
      </c>
      <c r="V38" s="2"/>
      <c r="W38" s="2"/>
      <c r="X38" s="2"/>
      <c r="Y38" s="2">
        <v>918.3</v>
      </c>
      <c r="Z38" s="2"/>
      <c r="AA38" s="4">
        <v>5509.8</v>
      </c>
    </row>
    <row r="39" ht="15">
      <c r="A39">
        <v>4</v>
      </c>
      <c r="B39" s="8"/>
      <c r="C39" s="2">
        <v>6</v>
      </c>
      <c r="D39" s="2"/>
      <c r="E39" s="2" t="s">
        <v>93</v>
      </c>
      <c r="F39" s="2" t="s">
        <v>94</v>
      </c>
      <c r="G39" s="8" t="s">
        <v>30</v>
      </c>
      <c r="H39" s="2" t="s">
        <v>31</v>
      </c>
      <c r="I39" s="2" t="s">
        <v>32</v>
      </c>
      <c r="J39" s="2">
        <v>15.252</v>
      </c>
      <c r="K39" s="2">
        <v>14.4</v>
      </c>
      <c r="L39" s="2">
        <v>7.5</v>
      </c>
      <c r="M39" s="2">
        <v>6</v>
      </c>
      <c r="N39" s="6" t="s">
        <v>33</v>
      </c>
      <c r="O39" s="10" t="s">
        <v>34</v>
      </c>
      <c r="P39" s="2">
        <v>45</v>
      </c>
      <c r="Q39" s="2">
        <v>0</v>
      </c>
      <c r="R39" s="8" t="s">
        <v>34</v>
      </c>
      <c r="S39" s="2"/>
      <c r="T39" s="2">
        <v>2391.98</v>
      </c>
      <c r="U39" s="2">
        <v>119.6</v>
      </c>
      <c r="V39" s="2"/>
      <c r="W39" s="2"/>
      <c r="X39" s="2"/>
      <c r="Y39" s="2">
        <v>502.32</v>
      </c>
      <c r="Z39" s="2"/>
      <c r="AA39" s="4">
        <v>3013.9</v>
      </c>
    </row>
    <row r="40" ht="15">
      <c r="A40">
        <v>5</v>
      </c>
      <c r="B40" s="8"/>
      <c r="C40" s="2">
        <v>6</v>
      </c>
      <c r="D40" s="2"/>
      <c r="E40" s="2" t="s">
        <v>95</v>
      </c>
      <c r="F40" s="2" t="s">
        <v>94</v>
      </c>
      <c r="G40" s="8" t="s">
        <v>30</v>
      </c>
      <c r="H40" s="2" t="s">
        <v>31</v>
      </c>
      <c r="I40" s="2" t="s">
        <v>32</v>
      </c>
      <c r="J40" s="2">
        <v>15.252</v>
      </c>
      <c r="K40" s="2">
        <v>14.4</v>
      </c>
      <c r="L40" s="2">
        <v>7.5</v>
      </c>
      <c r="M40" s="2">
        <v>6</v>
      </c>
      <c r="N40" s="6" t="s">
        <v>33</v>
      </c>
      <c r="O40" s="10" t="s">
        <v>34</v>
      </c>
      <c r="P40" s="2">
        <v>45</v>
      </c>
      <c r="Q40" s="2">
        <v>0</v>
      </c>
      <c r="R40" s="8" t="s">
        <v>34</v>
      </c>
      <c r="S40" s="2"/>
      <c r="T40" s="2">
        <v>2391.98</v>
      </c>
      <c r="U40" s="2">
        <v>119.6</v>
      </c>
      <c r="V40" s="2"/>
      <c r="W40" s="2"/>
      <c r="X40" s="2"/>
      <c r="Y40" s="2">
        <v>502.32</v>
      </c>
      <c r="Z40" s="2"/>
      <c r="AA40" s="4">
        <v>3013.9</v>
      </c>
    </row>
    <row r="41" ht="15">
      <c r="A41">
        <v>6</v>
      </c>
      <c r="B41" s="8"/>
      <c r="C41" s="2">
        <v>6</v>
      </c>
      <c r="D41" s="2"/>
      <c r="E41" s="2" t="s">
        <v>96</v>
      </c>
      <c r="F41" s="2" t="s">
        <v>94</v>
      </c>
      <c r="G41" s="8" t="s">
        <v>30</v>
      </c>
      <c r="H41" s="2" t="s">
        <v>31</v>
      </c>
      <c r="I41" s="2" t="s">
        <v>32</v>
      </c>
      <c r="J41" s="2">
        <v>13.98</v>
      </c>
      <c r="K41" s="2">
        <v>13.2</v>
      </c>
      <c r="L41" s="2">
        <v>8.25</v>
      </c>
      <c r="M41" s="2">
        <v>6</v>
      </c>
      <c r="N41" s="6" t="s">
        <v>33</v>
      </c>
      <c r="O41" s="10" t="s">
        <v>34</v>
      </c>
      <c r="P41" s="2">
        <v>49.5</v>
      </c>
      <c r="Q41" s="2">
        <v>0</v>
      </c>
      <c r="R41" s="8" t="s">
        <v>34</v>
      </c>
      <c r="S41" s="2"/>
      <c r="T41" s="2">
        <v>2613.88</v>
      </c>
      <c r="U41" s="2">
        <v>130.69</v>
      </c>
      <c r="V41" s="2"/>
      <c r="W41" s="2"/>
      <c r="X41" s="2"/>
      <c r="Y41" s="2">
        <v>548.91</v>
      </c>
      <c r="Z41" s="2"/>
      <c r="AA41" s="4">
        <v>3293.48</v>
      </c>
    </row>
    <row r="42" ht="15">
      <c r="A42" s="12"/>
      <c r="B42" s="12"/>
      <c r="C42" s="12"/>
      <c r="D42" s="12"/>
      <c r="E42" s="12"/>
      <c r="F42" s="12" t="s">
        <v>97</v>
      </c>
      <c r="G42" s="12"/>
      <c r="H42" s="12"/>
      <c r="I42" s="12"/>
      <c r="J42" s="12">
        <f>SUM(J36:J41)</f>
        <v>0</v>
      </c>
      <c r="K42" s="12">
        <f>SUM(K36:K41)</f>
        <v>0</v>
      </c>
      <c r="L42" s="12"/>
      <c r="M42" s="12">
        <f>SUM(M36:M41)</f>
        <v>0</v>
      </c>
      <c r="N42" s="13"/>
      <c r="O42" s="14"/>
      <c r="P42" s="12">
        <f>SUM(P36:P41)</f>
        <v>0</v>
      </c>
      <c r="Q42" s="12">
        <f>SUM(Q36:Q41)</f>
        <v>0</v>
      </c>
      <c r="R42" s="12"/>
      <c r="S42" s="12">
        <f>SUM(S36:S41)</f>
        <v>0</v>
      </c>
      <c r="T42" s="12"/>
      <c r="U42" s="12"/>
      <c r="V42" s="12"/>
      <c r="W42" s="12"/>
      <c r="X42" s="12"/>
      <c r="Y42" s="12"/>
      <c r="Z42" s="12"/>
      <c r="AA42" s="12"/>
    </row>
    <row r="43" ht="15">
      <c r="A43">
        <v>1</v>
      </c>
      <c r="B43" s="8" t="s">
        <v>98</v>
      </c>
      <c r="C43" s="2">
        <v>7</v>
      </c>
      <c r="D43" s="2"/>
      <c r="E43" s="2" t="s">
        <v>99</v>
      </c>
      <c r="F43" s="2" t="s">
        <v>100</v>
      </c>
      <c r="G43" s="8" t="s">
        <v>30</v>
      </c>
      <c r="H43" s="2" t="s">
        <v>31</v>
      </c>
      <c r="I43" s="2" t="s">
        <v>32</v>
      </c>
      <c r="J43" s="2">
        <v>42.4</v>
      </c>
      <c r="K43" s="2">
        <v>40</v>
      </c>
      <c r="L43" s="2">
        <v>0.8</v>
      </c>
      <c r="M43" s="2">
        <v>200</v>
      </c>
      <c r="N43" s="6" t="s">
        <v>33</v>
      </c>
      <c r="O43" s="10" t="s">
        <v>34</v>
      </c>
      <c r="P43" s="2">
        <v>160</v>
      </c>
      <c r="Q43" s="2">
        <v>0</v>
      </c>
      <c r="R43" s="8" t="s">
        <v>34</v>
      </c>
      <c r="S43" s="2"/>
      <c r="T43" s="2">
        <v>8431.68</v>
      </c>
      <c r="U43" s="2">
        <v>843.17</v>
      </c>
      <c r="V43" s="2"/>
      <c r="W43" s="2"/>
      <c r="X43" s="2"/>
      <c r="Y43" s="2">
        <v>1854.97</v>
      </c>
      <c r="Z43" s="2"/>
      <c r="AA43" s="4">
        <v>11129.82</v>
      </c>
    </row>
    <row r="44" ht="15">
      <c r="A44" s="12"/>
      <c r="B44" s="12"/>
      <c r="C44" s="12"/>
      <c r="D44" s="12"/>
      <c r="E44" s="12"/>
      <c r="F44" s="12" t="s">
        <v>101</v>
      </c>
      <c r="G44" s="12"/>
      <c r="H44" s="12"/>
      <c r="I44" s="12"/>
      <c r="J44" s="12">
        <f>SUM(J43:J43)</f>
        <v>0</v>
      </c>
      <c r="K44" s="12">
        <f>SUM(K43:K43)</f>
        <v>0</v>
      </c>
      <c r="L44" s="12"/>
      <c r="M44" s="12">
        <f>SUM(M43:M43)</f>
        <v>0</v>
      </c>
      <c r="N44" s="13"/>
      <c r="O44" s="14"/>
      <c r="P44" s="12">
        <f>SUM(P43:P43)</f>
        <v>0</v>
      </c>
      <c r="Q44" s="12">
        <f>SUM(Q43:Q43)</f>
        <v>0</v>
      </c>
      <c r="R44" s="12"/>
      <c r="S44" s="12">
        <f>SUM(S43:S43)</f>
        <v>0</v>
      </c>
      <c r="T44" s="12"/>
      <c r="U44" s="12"/>
      <c r="V44" s="12"/>
      <c r="W44" s="12"/>
      <c r="X44" s="12"/>
      <c r="Y44" s="12"/>
      <c r="Z44" s="12"/>
      <c r="AA44" s="12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2026-07-20T16:39:00Z</dcterms:created>
  <dcterms:modified xsi:type="dcterms:W3CDTF">2026-07-20T13:39:00Z</dcterms:modified>
</cp:coreProperties>
</file>