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NOIR IHR20260000000034 08.07.2026\Розмитнення\"/>
    </mc:Choice>
  </mc:AlternateContent>
  <xr:revisionPtr revIDLastSave="0" documentId="13_ncr:1_{C910C0FB-50AF-4E21-8E5D-3C063355A4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8" i="1" l="1"/>
  <c r="I88" i="1"/>
  <c r="J88" i="1"/>
  <c r="K88" i="1"/>
  <c r="L88" i="1"/>
  <c r="M88" i="1"/>
  <c r="G88" i="1"/>
  <c r="F83" i="1" l="1"/>
  <c r="F81" i="1"/>
  <c r="G81" i="1"/>
  <c r="H81" i="1"/>
  <c r="I81" i="1"/>
  <c r="J81" i="1"/>
  <c r="K81" i="1"/>
  <c r="L81" i="1"/>
  <c r="M81" i="1"/>
  <c r="E81" i="1"/>
  <c r="L77" i="1"/>
  <c r="K77" i="1"/>
  <c r="J77" i="1"/>
  <c r="L71" i="1"/>
  <c r="K71" i="1"/>
  <c r="J57" i="1"/>
  <c r="J52" i="1"/>
  <c r="L37" i="1"/>
  <c r="K37" i="1"/>
  <c r="J37" i="1"/>
</calcChain>
</file>

<file path=xl/sharedStrings.xml><?xml version="1.0" encoding="utf-8"?>
<sst xmlns="http://schemas.openxmlformats.org/spreadsheetml/2006/main" count="258" uniqueCount="187">
  <si>
    <t>Список товарів електронного інвойсу МД № 26UA400040014348U2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</si>
  <si>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</si>
  <si>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</si>
  <si>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</si>
  <si>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</si>
  <si>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</si>
  <si>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</si>
  <si>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</si>
  <si>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</si>
  <si>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</si>
  <si>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</si>
  <si>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</si>
  <si>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</si>
  <si>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7318159590</t>
  </si>
  <si>
    <t>Болт-шпилька з круглою головкою-600шт, № по каталогу 3172310,</t>
  </si>
  <si>
    <t>Болт-шпилька з круглою головкою-300шт, № по каталогу 130181610,</t>
  </si>
  <si>
    <t>Болт-шпилька з круглою головкою-300шт, № по каталогу 620101310,</t>
  </si>
  <si>
    <t>Болт-шпилька з круглою головкою-150шт, № по каталогу 38115020,</t>
  </si>
  <si>
    <t>Болт-шпилька з круглою головкою-200шт, № по каталогу 3172210,</t>
  </si>
  <si>
    <t>Болт-шпилька з круглою головкою-150шт, № по каталогу 62044730,</t>
  </si>
  <si>
    <t>Болт-шпилька з круглою головкою-60шт, № по каталогу 20619045,</t>
  </si>
  <si>
    <t>Болт-шпилька з круглою головкою-60шт, № по каталогу 20680035,</t>
  </si>
  <si>
    <t>Болт-шпилька з круглою головкою-100шт, № по каталогу 1231528712,</t>
  </si>
  <si>
    <t>Болт-шпилька з круглою головкою-20шт, № по каталогу 38118105,</t>
  </si>
  <si>
    <t>Болт-шпилька з круглою головкою-20шт, № по каталогу 421150830,</t>
  </si>
  <si>
    <t xml:space="preserve">03235630/10 </t>
  </si>
  <si>
    <t>Шпилька колеса з гайками-20шт, № по каталогу 03235630/10 ,</t>
  </si>
  <si>
    <t xml:space="preserve">38118160-11 </t>
  </si>
  <si>
    <t>Болт-шпилька з круглою головкою-20шт, № по каталогу 38118160-11 ,</t>
  </si>
  <si>
    <t xml:space="preserve">38117340-11 </t>
  </si>
  <si>
    <t>Болт-шпилька з круглою головкою-20шт, № по каталогу 38117340-11 ,</t>
  </si>
  <si>
    <t xml:space="preserve">38117350-11 </t>
  </si>
  <si>
    <t>Болт-шпилька колісна-60шт, № по каталогу 38117350-11 ,</t>
  </si>
  <si>
    <t>Болт-шпилька з круглою головкою-20шт, № по каталогу 8126020,</t>
  </si>
  <si>
    <t>Болт-шпилька з круглою головкою-20шт, № по каталогу 62014287,</t>
  </si>
  <si>
    <t>Болт-шпилька з круглою головкою-20шт, № по каталогу 62014267,</t>
  </si>
  <si>
    <t>Болт-шпилька з круглою головкою-20шт, № по каталогу 21048732,</t>
  </si>
  <si>
    <t>Болт-шпилька з круглою головкою-20шт, № по каталогу 20142665,</t>
  </si>
  <si>
    <t>Болт-шпилька з круглою головкою-20шт, № по каталогу 20680045,</t>
  </si>
  <si>
    <t>Болт-шпилька з круглою головкою-60шт, № по каталогу 20680050,</t>
  </si>
  <si>
    <t xml:space="preserve">38118120-11 </t>
  </si>
  <si>
    <t>Болт-шпилька з круглою головкою-150шт, № по каталогу 38118120-11 ,</t>
  </si>
  <si>
    <t xml:space="preserve">38118130-11 </t>
  </si>
  <si>
    <t>Болт-шпилька з круглою головкою-20шт, № по каталогу 38118130-11 ,</t>
  </si>
  <si>
    <t xml:space="preserve">38117330-11 </t>
  </si>
  <si>
    <t>Болт-шпилька з круглою головкою-20шт, № по каталогу 38117330-11 ,</t>
  </si>
  <si>
    <t>Болт-шпилька з круглою головкою-20шт, № по каталогу 8122520,</t>
  </si>
  <si>
    <t>Болт-шпилька з круглою головкою-20шт, № по каталогу 8122635,</t>
  </si>
  <si>
    <t>Болт-шпилька з круглою головкою-20шт, № по каталогу 8126000,</t>
  </si>
  <si>
    <t>Болт-шпилька з круглою головкою-20шт, № по каталогу 8126040,</t>
  </si>
  <si>
    <t>Болт-шпилька з квадратною головкою-60шт, № по каталогу 12342820,</t>
  </si>
  <si>
    <t>Болт-шпилька з круглою головкою-60шт, № по каталогу 1231868665,</t>
  </si>
  <si>
    <t>Болт-шпилька з круглою головкою-20шт, № по каталогу 1231528712,</t>
  </si>
  <si>
    <t>Болт-шпилька з круглою головкою-600шт, № по каталогу 62044620,</t>
  </si>
  <si>
    <t>Болт-шпилька з круглою головкою-20шт, № по каталогу 620101210,</t>
  </si>
  <si>
    <t>Болт-шпилька з круглою головкою-40шт, № по каталогу 62044630,</t>
  </si>
  <si>
    <t>Болт-шпилька з круглою головкою-20шт, № по каталогу 62014065,</t>
  </si>
  <si>
    <t>Болт-шпилька з круглою головкою-20шт, № по каталогу 21048730,</t>
  </si>
  <si>
    <t>Болт-шпилька з круглою головкою-20шт, № по каталогу 20619020,</t>
  </si>
  <si>
    <t>Болт-шпилька з круглою головкою-60шт, № по каталогу 20619040,</t>
  </si>
  <si>
    <t>Болт-шпилька з круглою головкою-20шт, № по каталогу 20619060,</t>
  </si>
  <si>
    <t>Болт-шпилька з круглою головкою-20шт, № по каталогу 20619011,</t>
  </si>
  <si>
    <t>Болт-шпилька з круглою головкою-100шт, № по каталогу 20142620,</t>
  </si>
  <si>
    <t>Болт-шпилька з круглою головкою-300шт, № по каталогу 20142640,</t>
  </si>
  <si>
    <t>Болт-шпилька з круглою головкою-200шт, № по каталогу 13060130,</t>
  </si>
  <si>
    <t>Болт-шпилька з круглою головкою-300шт, № по каталогу 13060230,</t>
  </si>
  <si>
    <t>Болт-шпилька з круглою головкою-100шт, № по каталогу 130181810,</t>
  </si>
  <si>
    <t>Болт-шпилька з круглою головкою-60шт, № по каталогу 38118103,</t>
  </si>
  <si>
    <t>7318154290</t>
  </si>
  <si>
    <t>Болт калібрувальний супорта гальмівного метал-250шт, № по каталогу 95000900,</t>
  </si>
  <si>
    <t>Болт супорта-20шт, № по каталогу 95000107,</t>
  </si>
  <si>
    <t>Болт супорта-20шт, № по каталогу 95000105,</t>
  </si>
  <si>
    <t>7318158290</t>
  </si>
  <si>
    <t>Болт ресорний з гайкою-100шт, № по каталогу 95000125,</t>
  </si>
  <si>
    <t>Болт ресорний з гайкою-60шт, № по каталогу 95000155,</t>
  </si>
  <si>
    <t>Болт ресорний метал-100шт, № по каталогу 95000119,</t>
  </si>
  <si>
    <t>Болт ресорний метал-100шт, № по каталогу 95000225,</t>
  </si>
  <si>
    <t>Болт ресорний метал-20шт, № по каталогу 95000226,</t>
  </si>
  <si>
    <t>Болт ресорний метал-100шт, № по каталогу 95000228,</t>
  </si>
  <si>
    <t>Болт ресорний метал-20шт, № по каталогу 42401016,</t>
  </si>
  <si>
    <t>Болт амортизатора-20шт, № по каталогу 95000320,</t>
  </si>
  <si>
    <t>Болт амортизатора-20шт, № по каталогу 95000113,</t>
  </si>
  <si>
    <t>Болт амортизатора-20шт, № по каталогу 95000112,</t>
  </si>
  <si>
    <t>Болт-20шт, № по каталогу 95000118,</t>
  </si>
  <si>
    <t>Болт маточини-500шт, № по каталогу 95006001,</t>
  </si>
  <si>
    <t>Болт маточини-150шт, № по каталогу 95000110,</t>
  </si>
  <si>
    <t>Болт кріплення гальмівного диску-20шт, № по каталогу 9500075,</t>
  </si>
  <si>
    <t>Болт маточини-20шт, № по каталогу 95000120,</t>
  </si>
  <si>
    <t>Гайка болта амортизатора-50шт, № по каталогу 23300958,</t>
  </si>
  <si>
    <t>7318169990</t>
  </si>
  <si>
    <t>Гайка колісна-3000шт, № по каталогу 23300754,</t>
  </si>
  <si>
    <t>Гайка колісна-150шт, № по каталогу 23300450,</t>
  </si>
  <si>
    <t>Гайка колісна-200шт, № по каталогу 23300554,</t>
  </si>
  <si>
    <t>Гайка колісна-100шт, № по каталогу 23308402,</t>
  </si>
  <si>
    <t>7318190090</t>
  </si>
  <si>
    <t>0 3236230</t>
  </si>
  <si>
    <t>Шпилька колісна-20шт, № по каталогу 0 3236230,</t>
  </si>
  <si>
    <t>Шпилька колісна-20шт, № по каталогу 13060030,</t>
  </si>
  <si>
    <t>7318220090</t>
  </si>
  <si>
    <t>Гровер-300шт, № по каталогу 23300201,</t>
  </si>
  <si>
    <t>Гровер-20шт, № по каталогу 23300205,</t>
  </si>
  <si>
    <t>Гровер-100шт, № по каталогу 23300202,</t>
  </si>
  <si>
    <t>8708309998</t>
  </si>
  <si>
    <t>Комплект диска гальмівного монтажний-100шт, № по каталогу 95000413,</t>
  </si>
  <si>
    <t>03172310 NR</t>
  </si>
  <si>
    <t>130181610 NR</t>
  </si>
  <si>
    <t>620101310 NR</t>
  </si>
  <si>
    <t>38115020 NR</t>
  </si>
  <si>
    <t>03172210 NR</t>
  </si>
  <si>
    <t>62044730 NR</t>
  </si>
  <si>
    <t>20619045 NR</t>
  </si>
  <si>
    <t>20680035 NR</t>
  </si>
  <si>
    <t>1231528712 NR</t>
  </si>
  <si>
    <t>38118105 NR</t>
  </si>
  <si>
    <t>421150830 NR</t>
  </si>
  <si>
    <t>03235630/10 NR</t>
  </si>
  <si>
    <t>38118160-11 NR</t>
  </si>
  <si>
    <t>38117340-11 NR</t>
  </si>
  <si>
    <t>38117350-11 NR</t>
  </si>
  <si>
    <t>8126020 NR</t>
  </si>
  <si>
    <t>62014287 NR</t>
  </si>
  <si>
    <t>62014267 NR</t>
  </si>
  <si>
    <t>21048732 NR</t>
  </si>
  <si>
    <t>20142665 NR</t>
  </si>
  <si>
    <t>20680045 NR</t>
  </si>
  <si>
    <t>20680050 NR</t>
  </si>
  <si>
    <t>38118120-11 NR</t>
  </si>
  <si>
    <t>38118130-11 NR</t>
  </si>
  <si>
    <t>38117330-11 NR</t>
  </si>
  <si>
    <t>8122520 NR</t>
  </si>
  <si>
    <t>8122635 NR</t>
  </si>
  <si>
    <t>8126000 NR</t>
  </si>
  <si>
    <t>8126040 NR</t>
  </si>
  <si>
    <t>12342820 NR</t>
  </si>
  <si>
    <t>1231868665 NR</t>
  </si>
  <si>
    <t>62044620 NR</t>
  </si>
  <si>
    <t>620101210 NR</t>
  </si>
  <si>
    <t>62044630 NR</t>
  </si>
  <si>
    <t>62014065 NR</t>
  </si>
  <si>
    <t>21048730 NR</t>
  </si>
  <si>
    <t>20619020 NR</t>
  </si>
  <si>
    <t>20619040 NR</t>
  </si>
  <si>
    <t>20619060 NR</t>
  </si>
  <si>
    <t>20619011 NR</t>
  </si>
  <si>
    <t>20142620 NR</t>
  </si>
  <si>
    <t>20142640 NR</t>
  </si>
  <si>
    <t>13060130 NR</t>
  </si>
  <si>
    <t>13060230 NR</t>
  </si>
  <si>
    <t>130181810 NR</t>
  </si>
  <si>
    <t>38118103 NR</t>
  </si>
  <si>
    <t>95000900 NR</t>
  </si>
  <si>
    <t>95000107 NR</t>
  </si>
  <si>
    <t>95000105 NR</t>
  </si>
  <si>
    <t>95000125 NR</t>
  </si>
  <si>
    <t>95000155 NR</t>
  </si>
  <si>
    <t>95000119 NR</t>
  </si>
  <si>
    <t>95000225 NR</t>
  </si>
  <si>
    <t>95000226 NR</t>
  </si>
  <si>
    <t>95000228 NR</t>
  </si>
  <si>
    <t>42401016 NR</t>
  </si>
  <si>
    <t>95000320 NR</t>
  </si>
  <si>
    <t>95000113 NR</t>
  </si>
  <si>
    <t>95000112 NR</t>
  </si>
  <si>
    <t>95000118 NR</t>
  </si>
  <si>
    <t>95006001 NR</t>
  </si>
  <si>
    <t>95000110 NR</t>
  </si>
  <si>
    <t>9500075 NR</t>
  </si>
  <si>
    <t>95000120 NR</t>
  </si>
  <si>
    <t>23300958 NR</t>
  </si>
  <si>
    <t>23300754 NR</t>
  </si>
  <si>
    <t>23300450 NR</t>
  </si>
  <si>
    <t>23300554 NR</t>
  </si>
  <si>
    <t>23308402 NR</t>
  </si>
  <si>
    <t>03236230 NR</t>
  </si>
  <si>
    <t>13060030 NR</t>
  </si>
  <si>
    <t>23300201 NR</t>
  </si>
  <si>
    <t>23300205 NR</t>
  </si>
  <si>
    <t>23300202 NR</t>
  </si>
  <si>
    <t>95000413 NR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</si>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</sst>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3" borderId="0" xfId="0" applyFill="1"/>
    <xf numFmtId="0" fontId="0" fillId="0" borderId="2" xfId="1" applyNumberFormat="1" applyFont="1" applyBorder="1"/>
    <xf numFmtId="0" fontId="5" fillId="4" borderId="3" xfId="2" applyNumberFormat="1" applyFont="1" applyFill="1" applyBorder="1" applyAlignment="1">
      <alignment horizontal="left" vertical="top"/>
    </xf>
    <xf numFmtId="4" fontId="6" fillId="4" borderId="3" xfId="2" applyNumberFormat="1" applyFont="1" applyFill="1" applyBorder="1" applyAlignment="1">
      <alignment horizontal="right" vertical="top"/>
    </xf>
    <xf numFmtId="2" fontId="6" fillId="4" borderId="3" xfId="2" applyNumberFormat="1" applyFont="1" applyFill="1" applyBorder="1" applyAlignment="1">
      <alignment horizontal="right" vertical="top"/>
    </xf>
    <xf numFmtId="0" fontId="6" fillId="4" borderId="3" xfId="2" applyNumberFormat="1" applyFont="1" applyFill="1" applyBorder="1" applyAlignment="1">
      <alignment horizontal="left" vertical="top"/>
    </xf>
    <xf numFmtId="4" fontId="0" fillId="0" borderId="0" xfId="0" applyNumberFormat="1"/>
  </cellXfs>
  <cellStyles count="3">
    <cellStyle name="Normal" xfId="1" xr:uid="{00000000-0005-0000-0000-000000000000}"/>
    <cellStyle name="Обычный" xfId="0" builtinId="0"/>
    <cellStyle name="Обычный_Sheet1" xfId="2" xr:uid="{3A3B5A12-055F-4EFC-AB7B-D74C1F353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88"/>
  <sheetViews>
    <sheetView tabSelected="1" topLeftCell="A55" workbookViewId="0">
      <selection activeCell="G88" sqref="G88:M88"/>
    </sheetView>
  </sheetViews>
  <sheetFormatPr defaultRowHeight="13.8" x14ac:dyDescent="0.3"/>
  <cols>
    <col min="1" max="1" width="11.6640625" customWidth="1"/>
    <col min="2" max="3" width="15.6640625" customWidth="1"/>
    <col min="4" max="4" width="39.109375" customWidth="1"/>
    <col min="5" max="7" width="11.33203125" customWidth="1"/>
    <col min="8" max="12" width="11.6640625" customWidth="1"/>
    <col min="13" max="13" width="9.88671875" bestFit="1" customWidth="1"/>
  </cols>
  <sheetData>
    <row r="2" spans="1:13" ht="20.399999999999999" x14ac:dyDescent="0.35">
      <c r="A2" s="1" t="s">
        <v>0</v>
      </c>
    </row>
    <row r="4" spans="1:13" ht="27.6" x14ac:dyDescent="0.3">
      <c r="A4" s="3" t="s">
        <v>1</v>
      </c>
      <c r="B4" s="3" t="s">
        <v>2</v>
      </c>
      <c r="C4" s="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12</v>
      </c>
      <c r="M4" s="3" t="s">
        <v>11</v>
      </c>
    </row>
    <row r="5" spans="1:13" x14ac:dyDescent="0.3">
      <c r="A5" s="4" t="s">
        <v>13</v>
      </c>
      <c r="B5" s="7">
        <v>3172310</v>
      </c>
      <c r="C5" s="2" t="s">
        <v>104</v>
      </c>
      <c r="D5" s="2" t="s">
        <v>14</v>
      </c>
      <c r="E5" s="2">
        <v>207.6</v>
      </c>
      <c r="F5" s="2">
        <v>190.8</v>
      </c>
      <c r="G5" s="2">
        <v>1.1399999999999999</v>
      </c>
      <c r="H5" s="2">
        <v>600</v>
      </c>
      <c r="I5" s="2">
        <v>684</v>
      </c>
      <c r="J5" s="2">
        <v>36208.300000000003</v>
      </c>
      <c r="K5" s="2">
        <v>1810.42</v>
      </c>
      <c r="L5" s="2">
        <v>7603.74</v>
      </c>
      <c r="M5" s="2">
        <v>5</v>
      </c>
    </row>
    <row r="6" spans="1:13" x14ac:dyDescent="0.3">
      <c r="A6" s="4" t="s">
        <v>13</v>
      </c>
      <c r="B6" s="7">
        <v>130181610</v>
      </c>
      <c r="C6" s="2" t="s">
        <v>105</v>
      </c>
      <c r="D6" s="2" t="s">
        <v>15</v>
      </c>
      <c r="E6" s="2">
        <v>94.8</v>
      </c>
      <c r="F6" s="2">
        <v>87.6</v>
      </c>
      <c r="G6" s="2">
        <v>1.1399999999999999</v>
      </c>
      <c r="H6" s="2">
        <v>300</v>
      </c>
      <c r="I6" s="2">
        <v>342</v>
      </c>
      <c r="J6" s="2">
        <v>18048.5</v>
      </c>
      <c r="K6" s="2">
        <v>902.43</v>
      </c>
      <c r="L6" s="2">
        <v>3790.19</v>
      </c>
      <c r="M6" s="2">
        <v>5</v>
      </c>
    </row>
    <row r="7" spans="1:13" x14ac:dyDescent="0.3">
      <c r="A7" s="4" t="s">
        <v>13</v>
      </c>
      <c r="B7" s="7">
        <v>620101310</v>
      </c>
      <c r="C7" s="2" t="s">
        <v>106</v>
      </c>
      <c r="D7" s="2" t="s">
        <v>16</v>
      </c>
      <c r="E7" s="2">
        <v>100.2</v>
      </c>
      <c r="F7" s="2">
        <v>92.4</v>
      </c>
      <c r="G7" s="2">
        <v>1.24</v>
      </c>
      <c r="H7" s="2">
        <v>300</v>
      </c>
      <c r="I7" s="2">
        <v>372</v>
      </c>
      <c r="J7" s="2">
        <v>19613.68</v>
      </c>
      <c r="K7" s="2">
        <v>980.68</v>
      </c>
      <c r="L7" s="2">
        <v>4118.87</v>
      </c>
      <c r="M7" s="2">
        <v>5</v>
      </c>
    </row>
    <row r="8" spans="1:13" x14ac:dyDescent="0.3">
      <c r="A8" s="4" t="s">
        <v>13</v>
      </c>
      <c r="B8" s="7">
        <v>38115020</v>
      </c>
      <c r="C8" s="2" t="s">
        <v>107</v>
      </c>
      <c r="D8" s="2" t="s">
        <v>17</v>
      </c>
      <c r="E8" s="2">
        <v>45.75</v>
      </c>
      <c r="F8" s="2">
        <v>42.3</v>
      </c>
      <c r="G8" s="2">
        <v>1.1399999999999999</v>
      </c>
      <c r="H8" s="2">
        <v>150</v>
      </c>
      <c r="I8" s="2">
        <v>171</v>
      </c>
      <c r="J8" s="2">
        <v>9014.0499999999993</v>
      </c>
      <c r="K8" s="2">
        <v>450.7</v>
      </c>
      <c r="L8" s="2">
        <v>1892.95</v>
      </c>
      <c r="M8" s="2">
        <v>5</v>
      </c>
    </row>
    <row r="9" spans="1:13" x14ac:dyDescent="0.3">
      <c r="A9" s="4" t="s">
        <v>13</v>
      </c>
      <c r="B9" s="7">
        <v>3172210</v>
      </c>
      <c r="C9" s="2" t="s">
        <v>108</v>
      </c>
      <c r="D9" s="2" t="s">
        <v>18</v>
      </c>
      <c r="E9" s="2">
        <v>65.8</v>
      </c>
      <c r="F9" s="2">
        <v>60.8</v>
      </c>
      <c r="G9" s="2">
        <v>1.1399999999999999</v>
      </c>
      <c r="H9" s="2">
        <v>200</v>
      </c>
      <c r="I9" s="2">
        <v>228</v>
      </c>
      <c r="J9" s="2">
        <v>12048.41</v>
      </c>
      <c r="K9" s="2">
        <v>602.41999999999996</v>
      </c>
      <c r="L9" s="2">
        <v>2530.17</v>
      </c>
      <c r="M9" s="2">
        <v>5</v>
      </c>
    </row>
    <row r="10" spans="1:13" x14ac:dyDescent="0.3">
      <c r="A10" s="4" t="s">
        <v>13</v>
      </c>
      <c r="B10" s="7">
        <v>62044730</v>
      </c>
      <c r="C10" s="2" t="s">
        <v>109</v>
      </c>
      <c r="D10" s="2" t="s">
        <v>19</v>
      </c>
      <c r="E10" s="2">
        <v>67.8</v>
      </c>
      <c r="F10" s="2">
        <v>62.7</v>
      </c>
      <c r="G10" s="2">
        <v>1.28</v>
      </c>
      <c r="H10" s="2">
        <v>150</v>
      </c>
      <c r="I10" s="2">
        <v>192</v>
      </c>
      <c r="J10" s="2">
        <v>10222.64</v>
      </c>
      <c r="K10" s="2">
        <v>511.13</v>
      </c>
      <c r="L10" s="2">
        <v>2146.75</v>
      </c>
      <c r="M10" s="2">
        <v>5</v>
      </c>
    </row>
    <row r="11" spans="1:13" x14ac:dyDescent="0.3">
      <c r="A11" s="4" t="s">
        <v>13</v>
      </c>
      <c r="B11" s="7">
        <v>20619045</v>
      </c>
      <c r="C11" s="2" t="s">
        <v>110</v>
      </c>
      <c r="D11" s="2" t="s">
        <v>20</v>
      </c>
      <c r="E11" s="2">
        <v>19.5</v>
      </c>
      <c r="F11" s="2">
        <v>18</v>
      </c>
      <c r="G11" s="2">
        <v>1.24</v>
      </c>
      <c r="H11" s="2">
        <v>60</v>
      </c>
      <c r="I11" s="2">
        <v>74.400000000000006</v>
      </c>
      <c r="J11" s="2">
        <v>3919.4</v>
      </c>
      <c r="K11" s="2">
        <v>195.97</v>
      </c>
      <c r="L11" s="2">
        <v>823.07</v>
      </c>
      <c r="M11" s="2">
        <v>5</v>
      </c>
    </row>
    <row r="12" spans="1:13" x14ac:dyDescent="0.3">
      <c r="A12" s="4" t="s">
        <v>13</v>
      </c>
      <c r="B12" s="7">
        <v>20680035</v>
      </c>
      <c r="C12" s="2" t="s">
        <v>111</v>
      </c>
      <c r="D12" s="2" t="s">
        <v>21</v>
      </c>
      <c r="E12" s="2">
        <v>23.1</v>
      </c>
      <c r="F12" s="2">
        <v>21.36</v>
      </c>
      <c r="G12" s="2">
        <v>1.24</v>
      </c>
      <c r="H12" s="2">
        <v>60</v>
      </c>
      <c r="I12" s="2">
        <v>74.400000000000006</v>
      </c>
      <c r="J12" s="2">
        <v>3941.66</v>
      </c>
      <c r="K12" s="2">
        <v>197.08</v>
      </c>
      <c r="L12" s="2">
        <v>827.75</v>
      </c>
      <c r="M12" s="2">
        <v>5</v>
      </c>
    </row>
    <row r="13" spans="1:13" x14ac:dyDescent="0.3">
      <c r="A13" s="4" t="s">
        <v>13</v>
      </c>
      <c r="B13" s="7">
        <v>1231528712</v>
      </c>
      <c r="C13" s="2" t="s">
        <v>112</v>
      </c>
      <c r="D13" s="2" t="s">
        <v>22</v>
      </c>
      <c r="E13" s="2">
        <v>36.799999999999997</v>
      </c>
      <c r="F13" s="2">
        <v>34</v>
      </c>
      <c r="G13" s="2">
        <v>1.1399999999999999</v>
      </c>
      <c r="H13" s="2">
        <v>100</v>
      </c>
      <c r="I13" s="2">
        <v>114</v>
      </c>
      <c r="J13" s="2">
        <v>6048.32</v>
      </c>
      <c r="K13" s="2">
        <v>302.42</v>
      </c>
      <c r="L13" s="2">
        <v>1270.1500000000001</v>
      </c>
      <c r="M13" s="2">
        <v>5</v>
      </c>
    </row>
    <row r="14" spans="1:13" x14ac:dyDescent="0.3">
      <c r="A14" s="4" t="s">
        <v>13</v>
      </c>
      <c r="B14" s="7">
        <v>38118105</v>
      </c>
      <c r="C14" s="2" t="s">
        <v>113</v>
      </c>
      <c r="D14" s="2" t="s">
        <v>23</v>
      </c>
      <c r="E14" s="2">
        <v>6.5</v>
      </c>
      <c r="F14" s="2">
        <v>6</v>
      </c>
      <c r="G14" s="2">
        <v>1.1399999999999999</v>
      </c>
      <c r="H14" s="2">
        <v>20</v>
      </c>
      <c r="I14" s="2">
        <v>22.8</v>
      </c>
      <c r="J14" s="2">
        <v>1204.3499999999999</v>
      </c>
      <c r="K14" s="2">
        <v>60.22</v>
      </c>
      <c r="L14" s="2">
        <v>252.91</v>
      </c>
      <c r="M14" s="2">
        <v>5</v>
      </c>
    </row>
    <row r="15" spans="1:13" x14ac:dyDescent="0.3">
      <c r="A15" s="4" t="s">
        <v>13</v>
      </c>
      <c r="B15" s="7">
        <v>421150830</v>
      </c>
      <c r="C15" s="2" t="s">
        <v>114</v>
      </c>
      <c r="D15" s="2" t="s">
        <v>24</v>
      </c>
      <c r="E15" s="2">
        <v>8.4</v>
      </c>
      <c r="F15" s="2">
        <v>7.76</v>
      </c>
      <c r="G15" s="2">
        <v>1.1399999999999999</v>
      </c>
      <c r="H15" s="2">
        <v>20</v>
      </c>
      <c r="I15" s="2">
        <v>22.8</v>
      </c>
      <c r="J15" s="2">
        <v>1216.0899999999999</v>
      </c>
      <c r="K15" s="2">
        <v>60.8</v>
      </c>
      <c r="L15" s="2">
        <v>255.38</v>
      </c>
      <c r="M15" s="2">
        <v>5</v>
      </c>
    </row>
    <row r="16" spans="1:13" x14ac:dyDescent="0.3">
      <c r="A16" s="4" t="s">
        <v>13</v>
      </c>
      <c r="B16" s="2" t="s">
        <v>25</v>
      </c>
      <c r="C16" s="2" t="s">
        <v>115</v>
      </c>
      <c r="D16" s="2" t="s">
        <v>26</v>
      </c>
      <c r="E16" s="2">
        <v>13.64</v>
      </c>
      <c r="F16" s="2">
        <v>12.6</v>
      </c>
      <c r="G16" s="2">
        <v>2.38</v>
      </c>
      <c r="H16" s="2">
        <v>20</v>
      </c>
      <c r="I16" s="2">
        <v>47.6</v>
      </c>
      <c r="J16" s="2">
        <v>2514.77</v>
      </c>
      <c r="K16" s="2">
        <v>125.74</v>
      </c>
      <c r="L16" s="2">
        <v>528.1</v>
      </c>
      <c r="M16" s="2">
        <v>5</v>
      </c>
    </row>
    <row r="17" spans="1:13" x14ac:dyDescent="0.3">
      <c r="A17" s="4" t="s">
        <v>13</v>
      </c>
      <c r="B17" s="2" t="s">
        <v>27</v>
      </c>
      <c r="C17" s="2" t="s">
        <v>116</v>
      </c>
      <c r="D17" s="2" t="s">
        <v>28</v>
      </c>
      <c r="E17" s="2">
        <v>6.12</v>
      </c>
      <c r="F17" s="2">
        <v>5.64</v>
      </c>
      <c r="G17" s="2">
        <v>1.1399999999999999</v>
      </c>
      <c r="H17" s="2">
        <v>20</v>
      </c>
      <c r="I17" s="2">
        <v>22.8</v>
      </c>
      <c r="J17" s="2">
        <v>1202</v>
      </c>
      <c r="K17" s="2">
        <v>60.1</v>
      </c>
      <c r="L17" s="2">
        <v>252.42</v>
      </c>
      <c r="M17" s="2">
        <v>5</v>
      </c>
    </row>
    <row r="18" spans="1:13" x14ac:dyDescent="0.3">
      <c r="A18" s="4" t="s">
        <v>13</v>
      </c>
      <c r="B18" s="2" t="s">
        <v>29</v>
      </c>
      <c r="C18" s="2" t="s">
        <v>117</v>
      </c>
      <c r="D18" s="2" t="s">
        <v>30</v>
      </c>
      <c r="E18" s="2">
        <v>3.98</v>
      </c>
      <c r="F18" s="2">
        <v>3.68</v>
      </c>
      <c r="G18" s="2">
        <v>1.1399999999999999</v>
      </c>
      <c r="H18" s="2">
        <v>20</v>
      </c>
      <c r="I18" s="2">
        <v>22.8</v>
      </c>
      <c r="J18" s="2">
        <v>1188.77</v>
      </c>
      <c r="K18" s="2">
        <v>59.44</v>
      </c>
      <c r="L18" s="2">
        <v>249.64</v>
      </c>
      <c r="M18" s="2">
        <v>5</v>
      </c>
    </row>
    <row r="19" spans="1:13" x14ac:dyDescent="0.3">
      <c r="A19" s="4" t="s">
        <v>13</v>
      </c>
      <c r="B19" s="2" t="s">
        <v>31</v>
      </c>
      <c r="C19" s="2" t="s">
        <v>118</v>
      </c>
      <c r="D19" s="2" t="s">
        <v>32</v>
      </c>
      <c r="E19" s="2">
        <v>9.6</v>
      </c>
      <c r="F19" s="2">
        <v>8.8800000000000008</v>
      </c>
      <c r="G19" s="2">
        <v>1.1399999999999999</v>
      </c>
      <c r="H19" s="2">
        <v>60</v>
      </c>
      <c r="I19" s="2">
        <v>68.400000000000006</v>
      </c>
      <c r="J19" s="2">
        <v>3551.83</v>
      </c>
      <c r="K19" s="2">
        <v>177.59</v>
      </c>
      <c r="L19" s="2">
        <v>745.88</v>
      </c>
      <c r="M19" s="2">
        <v>5</v>
      </c>
    </row>
    <row r="20" spans="1:13" x14ac:dyDescent="0.3">
      <c r="A20" s="4" t="s">
        <v>13</v>
      </c>
      <c r="B20" s="7">
        <v>8126020</v>
      </c>
      <c r="C20" s="2" t="s">
        <v>119</v>
      </c>
      <c r="D20" s="2" t="s">
        <v>33</v>
      </c>
      <c r="E20" s="2">
        <v>5.32</v>
      </c>
      <c r="F20" s="2">
        <v>4.88</v>
      </c>
      <c r="G20" s="2">
        <v>1.1399999999999999</v>
      </c>
      <c r="H20" s="2">
        <v>20</v>
      </c>
      <c r="I20" s="2">
        <v>22.8</v>
      </c>
      <c r="J20" s="2">
        <v>1197.05</v>
      </c>
      <c r="K20" s="2">
        <v>59.85</v>
      </c>
      <c r="L20" s="2">
        <v>251.38</v>
      </c>
      <c r="M20" s="2">
        <v>5</v>
      </c>
    </row>
    <row r="21" spans="1:13" x14ac:dyDescent="0.3">
      <c r="A21" s="4" t="s">
        <v>13</v>
      </c>
      <c r="B21" s="7">
        <v>62014287</v>
      </c>
      <c r="C21" s="2" t="s">
        <v>120</v>
      </c>
      <c r="D21" s="2" t="s">
        <v>34</v>
      </c>
      <c r="E21" s="2">
        <v>5.94</v>
      </c>
      <c r="F21" s="2">
        <v>5.48</v>
      </c>
      <c r="G21" s="2">
        <v>1.1399999999999999</v>
      </c>
      <c r="H21" s="2">
        <v>20</v>
      </c>
      <c r="I21" s="2">
        <v>22.8</v>
      </c>
      <c r="J21" s="2">
        <v>1200.8800000000001</v>
      </c>
      <c r="K21" s="2">
        <v>60.04</v>
      </c>
      <c r="L21" s="2">
        <v>252.18</v>
      </c>
      <c r="M21" s="2">
        <v>5</v>
      </c>
    </row>
    <row r="22" spans="1:13" x14ac:dyDescent="0.3">
      <c r="A22" s="4" t="s">
        <v>13</v>
      </c>
      <c r="B22" s="7">
        <v>62014267</v>
      </c>
      <c r="C22" s="2" t="s">
        <v>121</v>
      </c>
      <c r="D22" s="2" t="s">
        <v>35</v>
      </c>
      <c r="E22" s="2">
        <v>4.2</v>
      </c>
      <c r="F22" s="2">
        <v>3.88</v>
      </c>
      <c r="G22" s="2">
        <v>1.1399999999999999</v>
      </c>
      <c r="H22" s="2">
        <v>20</v>
      </c>
      <c r="I22" s="2">
        <v>22.8</v>
      </c>
      <c r="J22" s="2">
        <v>1190.1300000000001</v>
      </c>
      <c r="K22" s="2">
        <v>59.51</v>
      </c>
      <c r="L22" s="2">
        <v>249.93</v>
      </c>
      <c r="M22" s="2">
        <v>5</v>
      </c>
    </row>
    <row r="23" spans="1:13" x14ac:dyDescent="0.3">
      <c r="A23" s="4" t="s">
        <v>13</v>
      </c>
      <c r="B23" s="7">
        <v>21048732</v>
      </c>
      <c r="C23" s="2" t="s">
        <v>122</v>
      </c>
      <c r="D23" s="2" t="s">
        <v>36</v>
      </c>
      <c r="E23" s="2">
        <v>6.92</v>
      </c>
      <c r="F23" s="2">
        <v>6.4</v>
      </c>
      <c r="G23" s="2">
        <v>1.24</v>
      </c>
      <c r="H23" s="2">
        <v>20</v>
      </c>
      <c r="I23" s="2">
        <v>24.8</v>
      </c>
      <c r="J23" s="2">
        <v>1309.06</v>
      </c>
      <c r="K23" s="2">
        <v>65.45</v>
      </c>
      <c r="L23" s="2">
        <v>274.89999999999998</v>
      </c>
      <c r="M23" s="2">
        <v>5</v>
      </c>
    </row>
    <row r="24" spans="1:13" x14ac:dyDescent="0.3">
      <c r="A24" s="4" t="s">
        <v>13</v>
      </c>
      <c r="B24" s="7">
        <v>20142665</v>
      </c>
      <c r="C24" s="2" t="s">
        <v>123</v>
      </c>
      <c r="D24" s="2" t="s">
        <v>37</v>
      </c>
      <c r="E24" s="2">
        <v>8.92</v>
      </c>
      <c r="F24" s="2">
        <v>8.24</v>
      </c>
      <c r="G24" s="2">
        <v>1.24</v>
      </c>
      <c r="H24" s="2">
        <v>20</v>
      </c>
      <c r="I24" s="2">
        <v>24.8</v>
      </c>
      <c r="J24" s="2">
        <v>1321.43</v>
      </c>
      <c r="K24" s="2">
        <v>66.069999999999993</v>
      </c>
      <c r="L24" s="2">
        <v>277.5</v>
      </c>
      <c r="M24" s="2">
        <v>5</v>
      </c>
    </row>
    <row r="25" spans="1:13" x14ac:dyDescent="0.3">
      <c r="A25" s="4" t="s">
        <v>13</v>
      </c>
      <c r="B25" s="7">
        <v>20680045</v>
      </c>
      <c r="C25" s="2" t="s">
        <v>124</v>
      </c>
      <c r="D25" s="2" t="s">
        <v>38</v>
      </c>
      <c r="E25" s="2">
        <v>6.46</v>
      </c>
      <c r="F25" s="2">
        <v>5.96</v>
      </c>
      <c r="G25" s="2">
        <v>1.24</v>
      </c>
      <c r="H25" s="2">
        <v>20</v>
      </c>
      <c r="I25" s="2">
        <v>24.8</v>
      </c>
      <c r="J25" s="2">
        <v>1306.22</v>
      </c>
      <c r="K25" s="2">
        <v>65.31</v>
      </c>
      <c r="L25" s="2">
        <v>274.31</v>
      </c>
      <c r="M25" s="2">
        <v>5</v>
      </c>
    </row>
    <row r="26" spans="1:13" x14ac:dyDescent="0.3">
      <c r="A26" s="4" t="s">
        <v>13</v>
      </c>
      <c r="B26" s="7">
        <v>20680050</v>
      </c>
      <c r="C26" s="2" t="s">
        <v>125</v>
      </c>
      <c r="D26" s="2" t="s">
        <v>39</v>
      </c>
      <c r="E26" s="2">
        <v>24.18</v>
      </c>
      <c r="F26" s="2">
        <v>22.32</v>
      </c>
      <c r="G26" s="2">
        <v>1.24</v>
      </c>
      <c r="H26" s="2">
        <v>60</v>
      </c>
      <c r="I26" s="2">
        <v>74.400000000000006</v>
      </c>
      <c r="J26" s="2">
        <v>3948.33</v>
      </c>
      <c r="K26" s="2">
        <v>197.42</v>
      </c>
      <c r="L26" s="2">
        <v>829.15</v>
      </c>
      <c r="M26" s="2">
        <v>5</v>
      </c>
    </row>
    <row r="27" spans="1:13" x14ac:dyDescent="0.3">
      <c r="A27" s="4" t="s">
        <v>13</v>
      </c>
      <c r="B27" s="2" t="s">
        <v>40</v>
      </c>
      <c r="C27" s="2" t="s">
        <v>126</v>
      </c>
      <c r="D27" s="2" t="s">
        <v>41</v>
      </c>
      <c r="E27" s="2">
        <v>41.85</v>
      </c>
      <c r="F27" s="2">
        <v>38.700000000000003</v>
      </c>
      <c r="G27" s="2">
        <v>1.1399999999999999</v>
      </c>
      <c r="H27" s="2">
        <v>150</v>
      </c>
      <c r="I27" s="2">
        <v>171</v>
      </c>
      <c r="J27" s="2">
        <v>8989.94</v>
      </c>
      <c r="K27" s="2">
        <v>449.5</v>
      </c>
      <c r="L27" s="2">
        <v>1887.89</v>
      </c>
      <c r="M27" s="2">
        <v>5</v>
      </c>
    </row>
    <row r="28" spans="1:13" x14ac:dyDescent="0.3">
      <c r="A28" s="4" t="s">
        <v>13</v>
      </c>
      <c r="B28" s="2" t="s">
        <v>42</v>
      </c>
      <c r="C28" s="2" t="s">
        <v>127</v>
      </c>
      <c r="D28" s="2" t="s">
        <v>43</v>
      </c>
      <c r="E28" s="2">
        <v>6.8</v>
      </c>
      <c r="F28" s="2">
        <v>6.28</v>
      </c>
      <c r="G28" s="2">
        <v>1.1399999999999999</v>
      </c>
      <c r="H28" s="2">
        <v>20</v>
      </c>
      <c r="I28" s="2">
        <v>22.8</v>
      </c>
      <c r="J28" s="2">
        <v>1206.2</v>
      </c>
      <c r="K28" s="2">
        <v>60.31</v>
      </c>
      <c r="L28" s="2">
        <v>253.3</v>
      </c>
      <c r="M28" s="2">
        <v>5</v>
      </c>
    </row>
    <row r="29" spans="1:13" x14ac:dyDescent="0.3">
      <c r="A29" s="4" t="s">
        <v>13</v>
      </c>
      <c r="B29" s="2" t="s">
        <v>44</v>
      </c>
      <c r="C29" s="2" t="s">
        <v>128</v>
      </c>
      <c r="D29" s="2" t="s">
        <v>45</v>
      </c>
      <c r="E29" s="2">
        <v>4.7</v>
      </c>
      <c r="F29" s="2">
        <v>4.32</v>
      </c>
      <c r="G29" s="2">
        <v>1.1399999999999999</v>
      </c>
      <c r="H29" s="2">
        <v>20</v>
      </c>
      <c r="I29" s="2">
        <v>22.8</v>
      </c>
      <c r="J29" s="2">
        <v>1193.22</v>
      </c>
      <c r="K29" s="2">
        <v>59.66</v>
      </c>
      <c r="L29" s="2">
        <v>250.58</v>
      </c>
      <c r="M29" s="2">
        <v>5</v>
      </c>
    </row>
    <row r="30" spans="1:13" x14ac:dyDescent="0.3">
      <c r="A30" s="4" t="s">
        <v>13</v>
      </c>
      <c r="B30" s="7">
        <v>8122520</v>
      </c>
      <c r="C30" s="2" t="s">
        <v>129</v>
      </c>
      <c r="D30" s="2" t="s">
        <v>46</v>
      </c>
      <c r="E30" s="2">
        <v>4.68</v>
      </c>
      <c r="F30" s="2">
        <v>4.32</v>
      </c>
      <c r="G30" s="2">
        <v>1.1399999999999999</v>
      </c>
      <c r="H30" s="2">
        <v>20</v>
      </c>
      <c r="I30" s="2">
        <v>22.8</v>
      </c>
      <c r="J30" s="2">
        <v>1193.0899999999999</v>
      </c>
      <c r="K30" s="2">
        <v>59.65</v>
      </c>
      <c r="L30" s="2">
        <v>250.55</v>
      </c>
      <c r="M30" s="2">
        <v>5</v>
      </c>
    </row>
    <row r="31" spans="1:13" x14ac:dyDescent="0.3">
      <c r="A31" s="4" t="s">
        <v>13</v>
      </c>
      <c r="B31" s="7">
        <v>8122635</v>
      </c>
      <c r="C31" s="2" t="s">
        <v>130</v>
      </c>
      <c r="D31" s="2" t="s">
        <v>47</v>
      </c>
      <c r="E31" s="2">
        <v>7.58</v>
      </c>
      <c r="F31" s="2">
        <v>7</v>
      </c>
      <c r="G31" s="2">
        <v>1.1399999999999999</v>
      </c>
      <c r="H31" s="2">
        <v>20</v>
      </c>
      <c r="I31" s="2">
        <v>22.8</v>
      </c>
      <c r="J31" s="2">
        <v>1211.02</v>
      </c>
      <c r="K31" s="2">
        <v>60.55</v>
      </c>
      <c r="L31" s="2">
        <v>254.31</v>
      </c>
      <c r="M31" s="2">
        <v>5</v>
      </c>
    </row>
    <row r="32" spans="1:13" x14ac:dyDescent="0.3">
      <c r="A32" s="4" t="s">
        <v>13</v>
      </c>
      <c r="B32" s="7">
        <v>8126000</v>
      </c>
      <c r="C32" s="2" t="s">
        <v>131</v>
      </c>
      <c r="D32" s="2" t="s">
        <v>48</v>
      </c>
      <c r="E32" s="2">
        <v>8.14</v>
      </c>
      <c r="F32" s="2">
        <v>7.52</v>
      </c>
      <c r="G32" s="2">
        <v>1.1399999999999999</v>
      </c>
      <c r="H32" s="2">
        <v>20</v>
      </c>
      <c r="I32" s="2">
        <v>22.8</v>
      </c>
      <c r="J32" s="2">
        <v>1214.49</v>
      </c>
      <c r="K32" s="2">
        <v>60.72</v>
      </c>
      <c r="L32" s="2">
        <v>255.04</v>
      </c>
      <c r="M32" s="2">
        <v>5</v>
      </c>
    </row>
    <row r="33" spans="1:13" x14ac:dyDescent="0.3">
      <c r="A33" s="4" t="s">
        <v>13</v>
      </c>
      <c r="B33" s="7">
        <v>8126040</v>
      </c>
      <c r="C33" s="2" t="s">
        <v>132</v>
      </c>
      <c r="D33" s="2" t="s">
        <v>49</v>
      </c>
      <c r="E33" s="2">
        <v>6.4</v>
      </c>
      <c r="F33" s="2">
        <v>5.92</v>
      </c>
      <c r="G33" s="2">
        <v>1.1399999999999999</v>
      </c>
      <c r="H33" s="2">
        <v>20</v>
      </c>
      <c r="I33" s="2">
        <v>22.8</v>
      </c>
      <c r="J33" s="2">
        <v>1203.73</v>
      </c>
      <c r="K33" s="2">
        <v>60.19</v>
      </c>
      <c r="L33" s="2">
        <v>252.78</v>
      </c>
      <c r="M33" s="2">
        <v>5</v>
      </c>
    </row>
    <row r="34" spans="1:13" x14ac:dyDescent="0.3">
      <c r="A34" s="4" t="s">
        <v>13</v>
      </c>
      <c r="B34" s="7">
        <v>12342820</v>
      </c>
      <c r="C34" s="2" t="s">
        <v>133</v>
      </c>
      <c r="D34" s="2" t="s">
        <v>50</v>
      </c>
      <c r="E34" s="2">
        <v>20.399999999999999</v>
      </c>
      <c r="F34" s="2">
        <v>18.84</v>
      </c>
      <c r="G34" s="2">
        <v>1.1399999999999999</v>
      </c>
      <c r="H34" s="2">
        <v>60</v>
      </c>
      <c r="I34" s="2">
        <v>68.400000000000006</v>
      </c>
      <c r="J34" s="2">
        <v>3618.6</v>
      </c>
      <c r="K34" s="2">
        <v>180.93</v>
      </c>
      <c r="L34" s="2">
        <v>759.91</v>
      </c>
      <c r="M34" s="2">
        <v>5</v>
      </c>
    </row>
    <row r="35" spans="1:13" x14ac:dyDescent="0.3">
      <c r="A35" s="4" t="s">
        <v>13</v>
      </c>
      <c r="B35" s="7">
        <v>1231868665</v>
      </c>
      <c r="C35" s="2" t="s">
        <v>134</v>
      </c>
      <c r="D35" s="2" t="s">
        <v>51</v>
      </c>
      <c r="E35" s="2">
        <v>19.98</v>
      </c>
      <c r="F35" s="2">
        <v>18.48</v>
      </c>
      <c r="G35" s="2">
        <v>1.1399999999999999</v>
      </c>
      <c r="H35" s="2">
        <v>60</v>
      </c>
      <c r="I35" s="2">
        <v>68.400000000000006</v>
      </c>
      <c r="J35" s="2">
        <v>3616.01</v>
      </c>
      <c r="K35" s="2">
        <v>180.8</v>
      </c>
      <c r="L35" s="2">
        <v>759.36</v>
      </c>
      <c r="M35" s="2">
        <v>5</v>
      </c>
    </row>
    <row r="36" spans="1:13" x14ac:dyDescent="0.3">
      <c r="A36" s="4" t="s">
        <v>13</v>
      </c>
      <c r="B36" s="7">
        <v>1231528712</v>
      </c>
      <c r="C36" s="2" t="s">
        <v>112</v>
      </c>
      <c r="D36" s="2" t="s">
        <v>52</v>
      </c>
      <c r="E36" s="2">
        <v>7.36</v>
      </c>
      <c r="F36" s="2">
        <v>6.8</v>
      </c>
      <c r="G36" s="2">
        <v>1.1399999999999999</v>
      </c>
      <c r="H36" s="2">
        <v>20</v>
      </c>
      <c r="I36" s="2">
        <v>22.8</v>
      </c>
      <c r="J36" s="2">
        <v>1209.6600000000001</v>
      </c>
      <c r="K36" s="2">
        <v>60.48</v>
      </c>
      <c r="L36" s="2">
        <v>254.03</v>
      </c>
      <c r="M36" s="2">
        <v>5</v>
      </c>
    </row>
    <row r="37" spans="1:13" x14ac:dyDescent="0.3">
      <c r="A37" s="4" t="s">
        <v>13</v>
      </c>
      <c r="B37" s="7">
        <v>62044620</v>
      </c>
      <c r="C37" s="2" t="s">
        <v>135</v>
      </c>
      <c r="D37" s="2" t="s">
        <v>53</v>
      </c>
      <c r="E37" s="2">
        <v>228.6</v>
      </c>
      <c r="F37" s="2">
        <v>211.2</v>
      </c>
      <c r="G37" s="2">
        <v>1.24</v>
      </c>
      <c r="H37" s="2">
        <v>600</v>
      </c>
      <c r="I37" s="2">
        <v>744</v>
      </c>
      <c r="J37" s="5">
        <f>SUM(39401.71,-0.01)</f>
        <v>39401.699999999997</v>
      </c>
      <c r="K37" s="5">
        <f>SUM(1970.09,0.02)</f>
        <v>1970.11</v>
      </c>
      <c r="L37" s="5">
        <f>SUM(8274.36,0.01)</f>
        <v>8274.3700000000008</v>
      </c>
      <c r="M37" s="2">
        <v>5</v>
      </c>
    </row>
    <row r="38" spans="1:13" x14ac:dyDescent="0.3">
      <c r="A38" s="4" t="s">
        <v>13</v>
      </c>
      <c r="B38" s="7">
        <v>620101210</v>
      </c>
      <c r="C38" s="2" t="s">
        <v>136</v>
      </c>
      <c r="D38" s="2" t="s">
        <v>54</v>
      </c>
      <c r="E38" s="2">
        <v>8.44</v>
      </c>
      <c r="F38" s="2">
        <v>7.8</v>
      </c>
      <c r="G38" s="2">
        <v>1.24</v>
      </c>
      <c r="H38" s="2">
        <v>20</v>
      </c>
      <c r="I38" s="2">
        <v>24.8</v>
      </c>
      <c r="J38" s="2">
        <v>1318.46</v>
      </c>
      <c r="K38" s="2">
        <v>65.92</v>
      </c>
      <c r="L38" s="2">
        <v>276.88</v>
      </c>
      <c r="M38" s="2">
        <v>5</v>
      </c>
    </row>
    <row r="39" spans="1:13" x14ac:dyDescent="0.3">
      <c r="A39" s="4" t="s">
        <v>13</v>
      </c>
      <c r="B39" s="7">
        <v>62044630</v>
      </c>
      <c r="C39" s="2" t="s">
        <v>137</v>
      </c>
      <c r="D39" s="2" t="s">
        <v>55</v>
      </c>
      <c r="E39" s="2">
        <v>18</v>
      </c>
      <c r="F39" s="2">
        <v>16.64</v>
      </c>
      <c r="G39" s="2">
        <v>1.24</v>
      </c>
      <c r="H39" s="2">
        <v>40</v>
      </c>
      <c r="I39" s="2">
        <v>49.6</v>
      </c>
      <c r="J39" s="2">
        <v>2643.85</v>
      </c>
      <c r="K39" s="2">
        <v>132.19</v>
      </c>
      <c r="L39" s="2">
        <v>555.21</v>
      </c>
      <c r="M39" s="2">
        <v>5</v>
      </c>
    </row>
    <row r="40" spans="1:13" x14ac:dyDescent="0.3">
      <c r="A40" s="4" t="s">
        <v>13</v>
      </c>
      <c r="B40" s="7">
        <v>62014065</v>
      </c>
      <c r="C40" s="2" t="s">
        <v>138</v>
      </c>
      <c r="D40" s="2" t="s">
        <v>56</v>
      </c>
      <c r="E40" s="2">
        <v>4.12</v>
      </c>
      <c r="F40" s="2">
        <v>3.8</v>
      </c>
      <c r="G40" s="2">
        <v>1.1399999999999999</v>
      </c>
      <c r="H40" s="2">
        <v>20</v>
      </c>
      <c r="I40" s="2">
        <v>22.8</v>
      </c>
      <c r="J40" s="2">
        <v>1189.6300000000001</v>
      </c>
      <c r="K40" s="2">
        <v>59.48</v>
      </c>
      <c r="L40" s="2">
        <v>249.82</v>
      </c>
      <c r="M40" s="2">
        <v>5</v>
      </c>
    </row>
    <row r="41" spans="1:13" x14ac:dyDescent="0.3">
      <c r="A41" s="4" t="s">
        <v>13</v>
      </c>
      <c r="B41" s="7">
        <v>21048730</v>
      </c>
      <c r="C41" s="2" t="s">
        <v>139</v>
      </c>
      <c r="D41" s="2" t="s">
        <v>57</v>
      </c>
      <c r="E41" s="2">
        <v>8.4</v>
      </c>
      <c r="F41" s="2">
        <v>7.76</v>
      </c>
      <c r="G41" s="2">
        <v>1.24</v>
      </c>
      <c r="H41" s="2">
        <v>20</v>
      </c>
      <c r="I41" s="2">
        <v>24.8</v>
      </c>
      <c r="J41" s="2">
        <v>1318.21</v>
      </c>
      <c r="K41" s="2">
        <v>65.91</v>
      </c>
      <c r="L41" s="2">
        <v>276.82</v>
      </c>
      <c r="M41" s="2">
        <v>5</v>
      </c>
    </row>
    <row r="42" spans="1:13" x14ac:dyDescent="0.3">
      <c r="A42" s="4" t="s">
        <v>13</v>
      </c>
      <c r="B42" s="7">
        <v>20619020</v>
      </c>
      <c r="C42" s="2" t="s">
        <v>140</v>
      </c>
      <c r="D42" s="2" t="s">
        <v>58</v>
      </c>
      <c r="E42" s="2">
        <v>6.76</v>
      </c>
      <c r="F42" s="2">
        <v>6.24</v>
      </c>
      <c r="G42" s="2">
        <v>1.24</v>
      </c>
      <c r="H42" s="2">
        <v>20</v>
      </c>
      <c r="I42" s="2">
        <v>24.8</v>
      </c>
      <c r="J42" s="2">
        <v>1308.07</v>
      </c>
      <c r="K42" s="2">
        <v>65.400000000000006</v>
      </c>
      <c r="L42" s="2">
        <v>274.69</v>
      </c>
      <c r="M42" s="2">
        <v>5</v>
      </c>
    </row>
    <row r="43" spans="1:13" x14ac:dyDescent="0.3">
      <c r="A43" s="4" t="s">
        <v>13</v>
      </c>
      <c r="B43" s="7">
        <v>20619040</v>
      </c>
      <c r="C43" s="2" t="s">
        <v>141</v>
      </c>
      <c r="D43" s="2" t="s">
        <v>59</v>
      </c>
      <c r="E43" s="2">
        <v>28.32</v>
      </c>
      <c r="F43" s="2">
        <v>26.16</v>
      </c>
      <c r="G43" s="2">
        <v>1.26</v>
      </c>
      <c r="H43" s="2">
        <v>60</v>
      </c>
      <c r="I43" s="2">
        <v>75.599999999999994</v>
      </c>
      <c r="J43" s="2">
        <v>4035.2</v>
      </c>
      <c r="K43" s="2">
        <v>201.76</v>
      </c>
      <c r="L43" s="2">
        <v>847.39</v>
      </c>
      <c r="M43" s="2">
        <v>5</v>
      </c>
    </row>
    <row r="44" spans="1:13" x14ac:dyDescent="0.3">
      <c r="A44" s="4" t="s">
        <v>13</v>
      </c>
      <c r="B44" s="7">
        <v>20619060</v>
      </c>
      <c r="C44" s="2" t="s">
        <v>142</v>
      </c>
      <c r="D44" s="2" t="s">
        <v>60</v>
      </c>
      <c r="E44" s="2">
        <v>4.12</v>
      </c>
      <c r="F44" s="2">
        <v>3.8</v>
      </c>
      <c r="G44" s="2">
        <v>1.24</v>
      </c>
      <c r="H44" s="2">
        <v>20</v>
      </c>
      <c r="I44" s="2">
        <v>24.8</v>
      </c>
      <c r="J44" s="2">
        <v>1291.75</v>
      </c>
      <c r="K44" s="2">
        <v>64.59</v>
      </c>
      <c r="L44" s="2">
        <v>271.27</v>
      </c>
      <c r="M44" s="2">
        <v>5</v>
      </c>
    </row>
    <row r="45" spans="1:13" x14ac:dyDescent="0.3">
      <c r="A45" s="4" t="s">
        <v>13</v>
      </c>
      <c r="B45" s="7">
        <v>20619011</v>
      </c>
      <c r="C45" s="2" t="s">
        <v>143</v>
      </c>
      <c r="D45" s="2" t="s">
        <v>61</v>
      </c>
      <c r="E45" s="2">
        <v>9.48</v>
      </c>
      <c r="F45" s="2">
        <v>8.76</v>
      </c>
      <c r="G45" s="2">
        <v>1.24</v>
      </c>
      <c r="H45" s="2">
        <v>20</v>
      </c>
      <c r="I45" s="2">
        <v>24.8</v>
      </c>
      <c r="J45" s="2">
        <v>1324.89</v>
      </c>
      <c r="K45" s="2">
        <v>66.239999999999995</v>
      </c>
      <c r="L45" s="2">
        <v>278.23</v>
      </c>
      <c r="M45" s="2">
        <v>5</v>
      </c>
    </row>
    <row r="46" spans="1:13" x14ac:dyDescent="0.3">
      <c r="A46" s="4" t="s">
        <v>13</v>
      </c>
      <c r="B46" s="7">
        <v>20142620</v>
      </c>
      <c r="C46" s="2" t="s">
        <v>144</v>
      </c>
      <c r="D46" s="2" t="s">
        <v>62</v>
      </c>
      <c r="E46" s="2">
        <v>34.4</v>
      </c>
      <c r="F46" s="2">
        <v>31.8</v>
      </c>
      <c r="G46" s="2">
        <v>1.1399999999999999</v>
      </c>
      <c r="H46" s="2">
        <v>100</v>
      </c>
      <c r="I46" s="2">
        <v>114</v>
      </c>
      <c r="J46" s="2">
        <v>6033.48</v>
      </c>
      <c r="K46" s="2">
        <v>301.67</v>
      </c>
      <c r="L46" s="2">
        <v>1267.03</v>
      </c>
      <c r="M46" s="2">
        <v>5</v>
      </c>
    </row>
    <row r="47" spans="1:13" x14ac:dyDescent="0.3">
      <c r="A47" s="4" t="s">
        <v>13</v>
      </c>
      <c r="B47" s="7">
        <v>20142640</v>
      </c>
      <c r="C47" s="2" t="s">
        <v>145</v>
      </c>
      <c r="D47" s="2" t="s">
        <v>63</v>
      </c>
      <c r="E47" s="2">
        <v>119.4</v>
      </c>
      <c r="F47" s="2">
        <v>110.4</v>
      </c>
      <c r="G47" s="2">
        <v>1.1399999999999999</v>
      </c>
      <c r="H47" s="2">
        <v>300</v>
      </c>
      <c r="I47" s="2">
        <v>342</v>
      </c>
      <c r="J47" s="2">
        <v>18200.61</v>
      </c>
      <c r="K47" s="2">
        <v>910.03</v>
      </c>
      <c r="L47" s="2">
        <v>3822.13</v>
      </c>
      <c r="M47" s="2">
        <v>5</v>
      </c>
    </row>
    <row r="48" spans="1:13" x14ac:dyDescent="0.3">
      <c r="A48" s="4" t="s">
        <v>13</v>
      </c>
      <c r="B48" s="7">
        <v>13060130</v>
      </c>
      <c r="C48" s="2" t="s">
        <v>146</v>
      </c>
      <c r="D48" s="2" t="s">
        <v>64</v>
      </c>
      <c r="E48" s="2">
        <v>64.599999999999994</v>
      </c>
      <c r="F48" s="2">
        <v>59.6</v>
      </c>
      <c r="G48" s="2">
        <v>1.1399999999999999</v>
      </c>
      <c r="H48" s="2">
        <v>200</v>
      </c>
      <c r="I48" s="2">
        <v>228</v>
      </c>
      <c r="J48" s="2">
        <v>12040.99</v>
      </c>
      <c r="K48" s="2">
        <v>602.04999999999995</v>
      </c>
      <c r="L48" s="2">
        <v>2528.61</v>
      </c>
      <c r="M48" s="2">
        <v>5</v>
      </c>
    </row>
    <row r="49" spans="1:13" x14ac:dyDescent="0.3">
      <c r="A49" s="4" t="s">
        <v>13</v>
      </c>
      <c r="B49" s="7">
        <v>13060230</v>
      </c>
      <c r="C49" s="2" t="s">
        <v>147</v>
      </c>
      <c r="D49" s="2" t="s">
        <v>65</v>
      </c>
      <c r="E49" s="2">
        <v>105.9</v>
      </c>
      <c r="F49" s="2">
        <v>97.8</v>
      </c>
      <c r="G49" s="2">
        <v>1.1399999999999999</v>
      </c>
      <c r="H49" s="2">
        <v>300</v>
      </c>
      <c r="I49" s="2">
        <v>342</v>
      </c>
      <c r="J49" s="2">
        <v>18117.13</v>
      </c>
      <c r="K49" s="2">
        <v>905.86</v>
      </c>
      <c r="L49" s="2">
        <v>3804.6</v>
      </c>
      <c r="M49" s="2">
        <v>5</v>
      </c>
    </row>
    <row r="50" spans="1:13" x14ac:dyDescent="0.3">
      <c r="A50" s="4" t="s">
        <v>13</v>
      </c>
      <c r="B50" s="7">
        <v>130181810</v>
      </c>
      <c r="C50" s="2" t="s">
        <v>148</v>
      </c>
      <c r="D50" s="2" t="s">
        <v>66</v>
      </c>
      <c r="E50" s="2">
        <v>28.8</v>
      </c>
      <c r="F50" s="2">
        <v>26.6</v>
      </c>
      <c r="G50" s="2">
        <v>1.1399999999999999</v>
      </c>
      <c r="H50" s="2">
        <v>100</v>
      </c>
      <c r="I50" s="2">
        <v>114</v>
      </c>
      <c r="J50" s="2">
        <v>5998.86</v>
      </c>
      <c r="K50" s="2">
        <v>299.94</v>
      </c>
      <c r="L50" s="2">
        <v>1259.76</v>
      </c>
      <c r="M50" s="2">
        <v>5</v>
      </c>
    </row>
    <row r="51" spans="1:13" x14ac:dyDescent="0.3">
      <c r="A51" s="4" t="s">
        <v>13</v>
      </c>
      <c r="B51" s="7">
        <v>38118103</v>
      </c>
      <c r="C51" s="2" t="s">
        <v>149</v>
      </c>
      <c r="D51" s="2" t="s">
        <v>67</v>
      </c>
      <c r="E51" s="2">
        <v>17.04</v>
      </c>
      <c r="F51" s="2">
        <v>15.72</v>
      </c>
      <c r="G51" s="2">
        <v>1.1399999999999999</v>
      </c>
      <c r="H51" s="2">
        <v>60</v>
      </c>
      <c r="I51" s="2">
        <v>68.400000000000006</v>
      </c>
      <c r="J51" s="2">
        <v>3597.83</v>
      </c>
      <c r="K51" s="2">
        <v>179.89</v>
      </c>
      <c r="L51" s="2">
        <v>755.54</v>
      </c>
      <c r="M51" s="2">
        <v>5</v>
      </c>
    </row>
    <row r="52" spans="1:13" x14ac:dyDescent="0.3">
      <c r="A52" s="4" t="s">
        <v>68</v>
      </c>
      <c r="B52" s="7">
        <v>95000900</v>
      </c>
      <c r="C52" s="2" t="s">
        <v>150</v>
      </c>
      <c r="D52" s="2" t="s">
        <v>69</v>
      </c>
      <c r="E52" s="2">
        <v>81.25</v>
      </c>
      <c r="F52" s="2">
        <v>75</v>
      </c>
      <c r="G52" s="2">
        <v>1.34</v>
      </c>
      <c r="H52" s="2">
        <v>250</v>
      </c>
      <c r="I52" s="2">
        <v>335</v>
      </c>
      <c r="J52" s="5">
        <f>SUM(17607.31,-0.01)</f>
        <v>17607.300000000003</v>
      </c>
      <c r="K52" s="2">
        <v>880.37</v>
      </c>
      <c r="L52" s="2">
        <v>3697.54</v>
      </c>
      <c r="M52" s="2">
        <v>5</v>
      </c>
    </row>
    <row r="53" spans="1:13" x14ac:dyDescent="0.3">
      <c r="A53" s="4" t="s">
        <v>68</v>
      </c>
      <c r="B53" s="7">
        <v>95000107</v>
      </c>
      <c r="C53" s="2" t="s">
        <v>151</v>
      </c>
      <c r="D53" s="2" t="s">
        <v>70</v>
      </c>
      <c r="E53" s="2">
        <v>3.86</v>
      </c>
      <c r="F53" s="2">
        <v>3.56</v>
      </c>
      <c r="G53" s="2">
        <v>0.96</v>
      </c>
      <c r="H53" s="2">
        <v>20</v>
      </c>
      <c r="I53" s="2">
        <v>19.2</v>
      </c>
      <c r="J53" s="2">
        <v>1004.21</v>
      </c>
      <c r="K53" s="2">
        <v>50.21</v>
      </c>
      <c r="L53" s="2">
        <v>210.88</v>
      </c>
      <c r="M53" s="2">
        <v>5</v>
      </c>
    </row>
    <row r="54" spans="1:13" x14ac:dyDescent="0.3">
      <c r="A54" s="4" t="s">
        <v>68</v>
      </c>
      <c r="B54" s="7">
        <v>95000105</v>
      </c>
      <c r="C54" s="2" t="s">
        <v>152</v>
      </c>
      <c r="D54" s="2" t="s">
        <v>71</v>
      </c>
      <c r="E54" s="2">
        <v>3.86</v>
      </c>
      <c r="F54" s="2">
        <v>3.56</v>
      </c>
      <c r="G54" s="2">
        <v>0.96</v>
      </c>
      <c r="H54" s="2">
        <v>20</v>
      </c>
      <c r="I54" s="2">
        <v>19.2</v>
      </c>
      <c r="J54" s="2">
        <v>1004.21</v>
      </c>
      <c r="K54" s="2">
        <v>50.21</v>
      </c>
      <c r="L54" s="2">
        <v>210.88</v>
      </c>
      <c r="M54" s="2">
        <v>5</v>
      </c>
    </row>
    <row r="55" spans="1:13" x14ac:dyDescent="0.3">
      <c r="A55" s="4" t="s">
        <v>72</v>
      </c>
      <c r="B55" s="7">
        <v>95000125</v>
      </c>
      <c r="C55" s="2" t="s">
        <v>153</v>
      </c>
      <c r="D55" s="2" t="s">
        <v>73</v>
      </c>
      <c r="E55" s="2">
        <v>140.69999999999999</v>
      </c>
      <c r="F55" s="2">
        <v>130</v>
      </c>
      <c r="G55" s="2">
        <v>4.6500000000000004</v>
      </c>
      <c r="H55" s="2">
        <v>100</v>
      </c>
      <c r="I55" s="2">
        <v>465</v>
      </c>
      <c r="J55" s="2">
        <v>24612.62</v>
      </c>
      <c r="K55" s="2">
        <v>1230.6300000000001</v>
      </c>
      <c r="L55" s="2">
        <v>5168.6499999999996</v>
      </c>
      <c r="M55" s="2">
        <v>5</v>
      </c>
    </row>
    <row r="56" spans="1:13" x14ac:dyDescent="0.3">
      <c r="A56" s="4" t="s">
        <v>72</v>
      </c>
      <c r="B56" s="7">
        <v>95000155</v>
      </c>
      <c r="C56" s="2" t="s">
        <v>154</v>
      </c>
      <c r="D56" s="2" t="s">
        <v>74</v>
      </c>
      <c r="E56" s="2">
        <v>96.9</v>
      </c>
      <c r="F56" s="2">
        <v>89.52</v>
      </c>
      <c r="G56" s="2">
        <v>5.68</v>
      </c>
      <c r="H56" s="2">
        <v>60</v>
      </c>
      <c r="I56" s="2">
        <v>340.8</v>
      </c>
      <c r="J56" s="2">
        <v>18000.22</v>
      </c>
      <c r="K56" s="2">
        <v>900.01</v>
      </c>
      <c r="L56" s="2">
        <v>3780.05</v>
      </c>
      <c r="M56" s="2">
        <v>5</v>
      </c>
    </row>
    <row r="57" spans="1:13" x14ac:dyDescent="0.3">
      <c r="A57" s="4" t="s">
        <v>72</v>
      </c>
      <c r="B57" s="7">
        <v>95000119</v>
      </c>
      <c r="C57" s="2" t="s">
        <v>155</v>
      </c>
      <c r="D57" s="2" t="s">
        <v>75</v>
      </c>
      <c r="E57" s="2">
        <v>177.5</v>
      </c>
      <c r="F57" s="2">
        <v>164</v>
      </c>
      <c r="G57" s="2">
        <v>5.37</v>
      </c>
      <c r="H57" s="2">
        <v>100</v>
      </c>
      <c r="I57" s="2">
        <v>537</v>
      </c>
      <c r="J57" s="5">
        <f>SUM(28516.44,0.01)</f>
        <v>28516.449999999997</v>
      </c>
      <c r="K57" s="2">
        <v>1425.82</v>
      </c>
      <c r="L57" s="2">
        <v>5988.45</v>
      </c>
      <c r="M57" s="2">
        <v>5</v>
      </c>
    </row>
    <row r="58" spans="1:13" x14ac:dyDescent="0.3">
      <c r="A58" s="4" t="s">
        <v>72</v>
      </c>
      <c r="B58" s="7">
        <v>95000225</v>
      </c>
      <c r="C58" s="2" t="s">
        <v>156</v>
      </c>
      <c r="D58" s="2" t="s">
        <v>76</v>
      </c>
      <c r="E58" s="2">
        <v>155.9</v>
      </c>
      <c r="F58" s="2">
        <v>144</v>
      </c>
      <c r="G58" s="2">
        <v>5.37</v>
      </c>
      <c r="H58" s="2">
        <v>100</v>
      </c>
      <c r="I58" s="2">
        <v>537</v>
      </c>
      <c r="J58" s="2">
        <v>28382.89</v>
      </c>
      <c r="K58" s="2">
        <v>1419.14</v>
      </c>
      <c r="L58" s="2">
        <v>5960.41</v>
      </c>
      <c r="M58" s="2">
        <v>5</v>
      </c>
    </row>
    <row r="59" spans="1:13" x14ac:dyDescent="0.3">
      <c r="A59" s="4" t="s">
        <v>72</v>
      </c>
      <c r="B59" s="7">
        <v>95000226</v>
      </c>
      <c r="C59" s="2" t="s">
        <v>157</v>
      </c>
      <c r="D59" s="2" t="s">
        <v>77</v>
      </c>
      <c r="E59" s="2">
        <v>33.340000000000003</v>
      </c>
      <c r="F59" s="2">
        <v>30.8</v>
      </c>
      <c r="G59" s="2">
        <v>5.78</v>
      </c>
      <c r="H59" s="2">
        <v>20</v>
      </c>
      <c r="I59" s="2">
        <v>115.6</v>
      </c>
      <c r="J59" s="2">
        <v>6108.62</v>
      </c>
      <c r="K59" s="2">
        <v>305.43</v>
      </c>
      <c r="L59" s="2">
        <v>1282.81</v>
      </c>
      <c r="M59" s="2">
        <v>5</v>
      </c>
    </row>
    <row r="60" spans="1:13" x14ac:dyDescent="0.3">
      <c r="A60" s="4" t="s">
        <v>72</v>
      </c>
      <c r="B60" s="7">
        <v>95000228</v>
      </c>
      <c r="C60" s="2" t="s">
        <v>158</v>
      </c>
      <c r="D60" s="2" t="s">
        <v>78</v>
      </c>
      <c r="E60" s="2">
        <v>145.6</v>
      </c>
      <c r="F60" s="2">
        <v>134.5</v>
      </c>
      <c r="G60" s="2">
        <v>5.37</v>
      </c>
      <c r="H60" s="2">
        <v>100</v>
      </c>
      <c r="I60" s="2">
        <v>537</v>
      </c>
      <c r="J60" s="2">
        <v>28319.200000000001</v>
      </c>
      <c r="K60" s="2">
        <v>1415.96</v>
      </c>
      <c r="L60" s="2">
        <v>5947.03</v>
      </c>
      <c r="M60" s="2">
        <v>5</v>
      </c>
    </row>
    <row r="61" spans="1:13" x14ac:dyDescent="0.3">
      <c r="A61" s="4" t="s">
        <v>72</v>
      </c>
      <c r="B61" s="7">
        <v>42401016</v>
      </c>
      <c r="C61" s="2" t="s">
        <v>159</v>
      </c>
      <c r="D61" s="2" t="s">
        <v>79</v>
      </c>
      <c r="E61" s="2">
        <v>31.14</v>
      </c>
      <c r="F61" s="2">
        <v>28.76</v>
      </c>
      <c r="G61" s="2">
        <v>7.44</v>
      </c>
      <c r="H61" s="2">
        <v>20</v>
      </c>
      <c r="I61" s="2">
        <v>148.80000000000001</v>
      </c>
      <c r="J61" s="2">
        <v>7790.19</v>
      </c>
      <c r="K61" s="2">
        <v>389.51</v>
      </c>
      <c r="L61" s="2">
        <v>1635.94</v>
      </c>
      <c r="M61" s="2">
        <v>5</v>
      </c>
    </row>
    <row r="62" spans="1:13" x14ac:dyDescent="0.3">
      <c r="A62" s="4" t="s">
        <v>72</v>
      </c>
      <c r="B62" s="7">
        <v>95000320</v>
      </c>
      <c r="C62" s="2" t="s">
        <v>160</v>
      </c>
      <c r="D62" s="2" t="s">
        <v>80</v>
      </c>
      <c r="E62" s="2">
        <v>22.44</v>
      </c>
      <c r="F62" s="2">
        <v>20.72</v>
      </c>
      <c r="G62" s="2">
        <v>4.34</v>
      </c>
      <c r="H62" s="2">
        <v>20</v>
      </c>
      <c r="I62" s="2">
        <v>86.8</v>
      </c>
      <c r="J62" s="2">
        <v>4570.71</v>
      </c>
      <c r="K62" s="2">
        <v>228.54</v>
      </c>
      <c r="L62" s="2">
        <v>959.85</v>
      </c>
      <c r="M62" s="2">
        <v>5</v>
      </c>
    </row>
    <row r="63" spans="1:13" x14ac:dyDescent="0.3">
      <c r="A63" s="4" t="s">
        <v>72</v>
      </c>
      <c r="B63" s="7">
        <v>95000113</v>
      </c>
      <c r="C63" s="2" t="s">
        <v>161</v>
      </c>
      <c r="D63" s="2" t="s">
        <v>81</v>
      </c>
      <c r="E63" s="2">
        <v>11</v>
      </c>
      <c r="F63" s="2">
        <v>10.16</v>
      </c>
      <c r="G63" s="2">
        <v>2.89</v>
      </c>
      <c r="H63" s="2">
        <v>20</v>
      </c>
      <c r="I63" s="2">
        <v>57.8</v>
      </c>
      <c r="J63" s="2">
        <v>3019.25</v>
      </c>
      <c r="K63" s="2">
        <v>150.96</v>
      </c>
      <c r="L63" s="2">
        <v>634.04</v>
      </c>
      <c r="M63" s="2">
        <v>5</v>
      </c>
    </row>
    <row r="64" spans="1:13" x14ac:dyDescent="0.3">
      <c r="A64" s="4" t="s">
        <v>72</v>
      </c>
      <c r="B64" s="7">
        <v>95000112</v>
      </c>
      <c r="C64" s="2" t="s">
        <v>162</v>
      </c>
      <c r="D64" s="2" t="s">
        <v>82</v>
      </c>
      <c r="E64" s="2">
        <v>12.42</v>
      </c>
      <c r="F64" s="2">
        <v>11.48</v>
      </c>
      <c r="G64" s="2">
        <v>3.3</v>
      </c>
      <c r="H64" s="2">
        <v>20</v>
      </c>
      <c r="I64" s="2">
        <v>66</v>
      </c>
      <c r="J64" s="2">
        <v>3446.72</v>
      </c>
      <c r="K64" s="2">
        <v>172.34</v>
      </c>
      <c r="L64" s="2">
        <v>723.81</v>
      </c>
      <c r="M64" s="2">
        <v>5</v>
      </c>
    </row>
    <row r="65" spans="1:13" x14ac:dyDescent="0.3">
      <c r="A65" s="4" t="s">
        <v>72</v>
      </c>
      <c r="B65" s="7">
        <v>95000118</v>
      </c>
      <c r="C65" s="2" t="s">
        <v>163</v>
      </c>
      <c r="D65" s="2" t="s">
        <v>83</v>
      </c>
      <c r="E65" s="2">
        <v>3.04</v>
      </c>
      <c r="F65" s="2">
        <v>2.8</v>
      </c>
      <c r="G65" s="2">
        <v>0.96</v>
      </c>
      <c r="H65" s="2">
        <v>20</v>
      </c>
      <c r="I65" s="2">
        <v>19.2</v>
      </c>
      <c r="J65" s="2">
        <v>999.14</v>
      </c>
      <c r="K65" s="2">
        <v>49.96</v>
      </c>
      <c r="L65" s="2">
        <v>209.82</v>
      </c>
      <c r="M65" s="2">
        <v>5</v>
      </c>
    </row>
    <row r="66" spans="1:13" x14ac:dyDescent="0.3">
      <c r="A66" s="4" t="s">
        <v>72</v>
      </c>
      <c r="B66" s="7">
        <v>95006001</v>
      </c>
      <c r="C66" s="2" t="s">
        <v>164</v>
      </c>
      <c r="D66" s="2" t="s">
        <v>84</v>
      </c>
      <c r="E66" s="2">
        <v>44.5</v>
      </c>
      <c r="F66" s="2">
        <v>41</v>
      </c>
      <c r="G66" s="2">
        <v>0.49</v>
      </c>
      <c r="H66" s="2">
        <v>500</v>
      </c>
      <c r="I66" s="2">
        <v>245</v>
      </c>
      <c r="J66" s="2">
        <v>12784.72</v>
      </c>
      <c r="K66" s="2">
        <v>639.24</v>
      </c>
      <c r="L66" s="2">
        <v>2684.79</v>
      </c>
      <c r="M66" s="2">
        <v>5</v>
      </c>
    </row>
    <row r="67" spans="1:13" x14ac:dyDescent="0.3">
      <c r="A67" s="4" t="s">
        <v>72</v>
      </c>
      <c r="B67" s="7">
        <v>95000110</v>
      </c>
      <c r="C67" s="2" t="s">
        <v>165</v>
      </c>
      <c r="D67" s="2" t="s">
        <v>85</v>
      </c>
      <c r="E67" s="2">
        <v>14.55</v>
      </c>
      <c r="F67" s="2">
        <v>13.5</v>
      </c>
      <c r="G67" s="2">
        <v>0.49</v>
      </c>
      <c r="H67" s="2">
        <v>150</v>
      </c>
      <c r="I67" s="2">
        <v>73.5</v>
      </c>
      <c r="J67" s="2">
        <v>3842.84</v>
      </c>
      <c r="K67" s="2">
        <v>192.14</v>
      </c>
      <c r="L67" s="2">
        <v>807</v>
      </c>
      <c r="M67" s="2">
        <v>5</v>
      </c>
    </row>
    <row r="68" spans="1:13" x14ac:dyDescent="0.3">
      <c r="A68" s="4" t="s">
        <v>72</v>
      </c>
      <c r="B68" s="7">
        <v>9500075</v>
      </c>
      <c r="C68" s="2" t="s">
        <v>166</v>
      </c>
      <c r="D68" s="2" t="s">
        <v>86</v>
      </c>
      <c r="E68" s="2">
        <v>2.38</v>
      </c>
      <c r="F68" s="2">
        <v>2.2000000000000002</v>
      </c>
      <c r="G68" s="2">
        <v>0.49</v>
      </c>
      <c r="H68" s="2">
        <v>20</v>
      </c>
      <c r="I68" s="2">
        <v>9.8000000000000007</v>
      </c>
      <c r="J68" s="2">
        <v>515.1</v>
      </c>
      <c r="K68" s="2">
        <v>25.76</v>
      </c>
      <c r="L68" s="2">
        <v>108.17</v>
      </c>
      <c r="M68" s="2">
        <v>5</v>
      </c>
    </row>
    <row r="69" spans="1:13" x14ac:dyDescent="0.3">
      <c r="A69" s="4" t="s">
        <v>72</v>
      </c>
      <c r="B69" s="7">
        <v>95000120</v>
      </c>
      <c r="C69" s="2" t="s">
        <v>167</v>
      </c>
      <c r="D69" s="2" t="s">
        <v>87</v>
      </c>
      <c r="E69" s="2">
        <v>3.9</v>
      </c>
      <c r="F69" s="2">
        <v>3.6</v>
      </c>
      <c r="G69" s="2">
        <v>0.96</v>
      </c>
      <c r="H69" s="2">
        <v>20</v>
      </c>
      <c r="I69" s="2">
        <v>19.2</v>
      </c>
      <c r="J69" s="2">
        <v>1004.46</v>
      </c>
      <c r="K69" s="2">
        <v>50.22</v>
      </c>
      <c r="L69" s="2">
        <v>210.94</v>
      </c>
      <c r="M69" s="2">
        <v>5</v>
      </c>
    </row>
    <row r="70" spans="1:13" x14ac:dyDescent="0.3">
      <c r="A70" s="4" t="s">
        <v>72</v>
      </c>
      <c r="B70" s="7">
        <v>23300958</v>
      </c>
      <c r="C70" s="2" t="s">
        <v>168</v>
      </c>
      <c r="D70" s="2" t="s">
        <v>88</v>
      </c>
      <c r="E70" s="2">
        <v>4.8499999999999996</v>
      </c>
      <c r="F70" s="2">
        <v>4.5</v>
      </c>
      <c r="G70" s="2">
        <v>0.77</v>
      </c>
      <c r="H70" s="2">
        <v>50</v>
      </c>
      <c r="I70" s="2">
        <v>38.5</v>
      </c>
      <c r="J70" s="2">
        <v>1995.78</v>
      </c>
      <c r="K70" s="2">
        <v>99.79</v>
      </c>
      <c r="L70" s="2">
        <v>419.11</v>
      </c>
      <c r="M70" s="2">
        <v>5</v>
      </c>
    </row>
    <row r="71" spans="1:13" x14ac:dyDescent="0.3">
      <c r="A71" s="4" t="s">
        <v>89</v>
      </c>
      <c r="B71" s="7">
        <v>23300754</v>
      </c>
      <c r="C71" s="2" t="s">
        <v>169</v>
      </c>
      <c r="D71" s="2" t="s">
        <v>90</v>
      </c>
      <c r="E71" s="2">
        <v>525</v>
      </c>
      <c r="F71" s="2">
        <v>486</v>
      </c>
      <c r="G71" s="2">
        <v>0.72</v>
      </c>
      <c r="H71" s="2">
        <v>3000</v>
      </c>
      <c r="I71" s="2">
        <v>2160</v>
      </c>
      <c r="J71" s="2">
        <v>113534.62</v>
      </c>
      <c r="K71" s="5">
        <f>SUM(5676.73,-0.01)</f>
        <v>5676.7199999999993</v>
      </c>
      <c r="L71" s="5">
        <f>SUM(23842.27,-0.01)</f>
        <v>23842.260000000002</v>
      </c>
      <c r="M71" s="2">
        <v>5</v>
      </c>
    </row>
    <row r="72" spans="1:13" x14ac:dyDescent="0.3">
      <c r="A72" s="4" t="s">
        <v>89</v>
      </c>
      <c r="B72" s="7">
        <v>23300450</v>
      </c>
      <c r="C72" s="2" t="s">
        <v>170</v>
      </c>
      <c r="D72" s="2" t="s">
        <v>91</v>
      </c>
      <c r="E72" s="2">
        <v>16.649999999999999</v>
      </c>
      <c r="F72" s="2">
        <v>15.3</v>
      </c>
      <c r="G72" s="2">
        <v>0.77</v>
      </c>
      <c r="H72" s="2">
        <v>150</v>
      </c>
      <c r="I72" s="2">
        <v>115.5</v>
      </c>
      <c r="J72" s="2">
        <v>6000.32</v>
      </c>
      <c r="K72" s="2">
        <v>300.02</v>
      </c>
      <c r="L72" s="2">
        <v>1260.07</v>
      </c>
      <c r="M72" s="2">
        <v>5</v>
      </c>
    </row>
    <row r="73" spans="1:13" x14ac:dyDescent="0.3">
      <c r="A73" s="4" t="s">
        <v>89</v>
      </c>
      <c r="B73" s="7">
        <v>23300554</v>
      </c>
      <c r="C73" s="2" t="s">
        <v>171</v>
      </c>
      <c r="D73" s="2" t="s">
        <v>92</v>
      </c>
      <c r="E73" s="2">
        <v>31.6</v>
      </c>
      <c r="F73" s="2">
        <v>29.2</v>
      </c>
      <c r="G73" s="2">
        <v>0.77</v>
      </c>
      <c r="H73" s="2">
        <v>200</v>
      </c>
      <c r="I73" s="2">
        <v>154</v>
      </c>
      <c r="J73" s="2">
        <v>8058.55</v>
      </c>
      <c r="K73" s="2">
        <v>402.93</v>
      </c>
      <c r="L73" s="2">
        <v>1692.3</v>
      </c>
      <c r="M73" s="2">
        <v>5</v>
      </c>
    </row>
    <row r="74" spans="1:13" x14ac:dyDescent="0.3">
      <c r="A74" s="4" t="s">
        <v>89</v>
      </c>
      <c r="B74" s="7">
        <v>23308402</v>
      </c>
      <c r="C74" s="2" t="s">
        <v>172</v>
      </c>
      <c r="D74" s="2" t="s">
        <v>93</v>
      </c>
      <c r="E74" s="2">
        <v>28.8</v>
      </c>
      <c r="F74" s="2">
        <v>26.6</v>
      </c>
      <c r="G74" s="2">
        <v>1.45</v>
      </c>
      <c r="H74" s="2">
        <v>100</v>
      </c>
      <c r="I74" s="2">
        <v>145</v>
      </c>
      <c r="J74" s="2">
        <v>7581.7</v>
      </c>
      <c r="K74" s="2">
        <v>379.09</v>
      </c>
      <c r="L74" s="2">
        <v>1592.16</v>
      </c>
      <c r="M74" s="2">
        <v>5</v>
      </c>
    </row>
    <row r="75" spans="1:13" x14ac:dyDescent="0.3">
      <c r="A75" s="4" t="s">
        <v>94</v>
      </c>
      <c r="B75" s="2" t="s">
        <v>95</v>
      </c>
      <c r="C75" s="2" t="s">
        <v>173</v>
      </c>
      <c r="D75" s="2" t="s">
        <v>96</v>
      </c>
      <c r="E75" s="2">
        <v>10.92</v>
      </c>
      <c r="F75" s="2">
        <v>10.08</v>
      </c>
      <c r="G75" s="2">
        <v>2.38</v>
      </c>
      <c r="H75" s="2">
        <v>20</v>
      </c>
      <c r="I75" s="2">
        <v>47.6</v>
      </c>
      <c r="J75" s="2">
        <v>2497.9499999999998</v>
      </c>
      <c r="K75" s="2">
        <v>124.9</v>
      </c>
      <c r="L75" s="2">
        <v>524.57000000000005</v>
      </c>
      <c r="M75" s="2">
        <v>5</v>
      </c>
    </row>
    <row r="76" spans="1:13" x14ac:dyDescent="0.3">
      <c r="A76" s="4" t="s">
        <v>94</v>
      </c>
      <c r="B76" s="7">
        <v>13060030</v>
      </c>
      <c r="C76" s="2" t="s">
        <v>174</v>
      </c>
      <c r="D76" s="2" t="s">
        <v>97</v>
      </c>
      <c r="E76" s="2">
        <v>11.26</v>
      </c>
      <c r="F76" s="2">
        <v>10.4</v>
      </c>
      <c r="G76" s="2">
        <v>2.38</v>
      </c>
      <c r="H76" s="2">
        <v>20</v>
      </c>
      <c r="I76" s="2">
        <v>47.6</v>
      </c>
      <c r="J76" s="2">
        <v>2500.0500000000002</v>
      </c>
      <c r="K76" s="2">
        <v>125</v>
      </c>
      <c r="L76" s="2">
        <v>525.01</v>
      </c>
      <c r="M76" s="2">
        <v>5</v>
      </c>
    </row>
    <row r="77" spans="1:13" x14ac:dyDescent="0.3">
      <c r="A77" s="4" t="s">
        <v>98</v>
      </c>
      <c r="B77" s="7">
        <v>23300201</v>
      </c>
      <c r="C77" s="2" t="s">
        <v>175</v>
      </c>
      <c r="D77" s="2" t="s">
        <v>99</v>
      </c>
      <c r="E77" s="2">
        <v>4.8</v>
      </c>
      <c r="F77" s="2">
        <v>4.5</v>
      </c>
      <c r="G77" s="2">
        <v>0.28999999999999998</v>
      </c>
      <c r="H77" s="2">
        <v>300</v>
      </c>
      <c r="I77" s="2">
        <v>87</v>
      </c>
      <c r="J77" s="5">
        <f>SUM(4471.86,-0.01)</f>
        <v>4471.8499999999995</v>
      </c>
      <c r="K77" s="5">
        <f>SUM(223.59,-0.01)</f>
        <v>223.58</v>
      </c>
      <c r="L77" s="5">
        <f>SUM(939.09,-0.01)</f>
        <v>939.08</v>
      </c>
      <c r="M77" s="2">
        <v>5</v>
      </c>
    </row>
    <row r="78" spans="1:13" x14ac:dyDescent="0.3">
      <c r="A78" s="4" t="s">
        <v>98</v>
      </c>
      <c r="B78" s="7">
        <v>23300205</v>
      </c>
      <c r="C78" s="2" t="s">
        <v>176</v>
      </c>
      <c r="D78" s="2" t="s">
        <v>100</v>
      </c>
      <c r="E78" s="2">
        <v>0.22</v>
      </c>
      <c r="F78" s="2">
        <v>0.2</v>
      </c>
      <c r="G78" s="2">
        <v>0.28999999999999998</v>
      </c>
      <c r="H78" s="2">
        <v>20</v>
      </c>
      <c r="I78" s="2">
        <v>5.8</v>
      </c>
      <c r="J78" s="2">
        <v>297.51</v>
      </c>
      <c r="K78" s="2">
        <v>14.88</v>
      </c>
      <c r="L78" s="2">
        <v>62.48</v>
      </c>
      <c r="M78" s="2">
        <v>5</v>
      </c>
    </row>
    <row r="79" spans="1:13" x14ac:dyDescent="0.3">
      <c r="A79" s="4" t="s">
        <v>98</v>
      </c>
      <c r="B79" s="7">
        <v>23300202</v>
      </c>
      <c r="C79" s="2" t="s">
        <v>177</v>
      </c>
      <c r="D79" s="2" t="s">
        <v>101</v>
      </c>
      <c r="E79" s="2">
        <v>2.2000000000000002</v>
      </c>
      <c r="F79" s="2">
        <v>2</v>
      </c>
      <c r="G79" s="2">
        <v>0.28999999999999998</v>
      </c>
      <c r="H79" s="2">
        <v>100</v>
      </c>
      <c r="I79" s="2">
        <v>29</v>
      </c>
      <c r="J79" s="2">
        <v>1494.33</v>
      </c>
      <c r="K79" s="2">
        <v>74.72</v>
      </c>
      <c r="L79" s="2">
        <v>313.81</v>
      </c>
      <c r="M79" s="2">
        <v>5</v>
      </c>
    </row>
    <row r="80" spans="1:13" x14ac:dyDescent="0.3">
      <c r="A80" s="4" t="s">
        <v>102</v>
      </c>
      <c r="B80" s="7">
        <v>95000413</v>
      </c>
      <c r="C80" s="2" t="s">
        <v>178</v>
      </c>
      <c r="D80" s="2" t="s">
        <v>103</v>
      </c>
      <c r="E80" s="2">
        <v>59.5</v>
      </c>
      <c r="F80" s="2">
        <v>55</v>
      </c>
      <c r="G80" s="2">
        <v>3.72</v>
      </c>
      <c r="H80" s="2">
        <v>100</v>
      </c>
      <c r="I80" s="2">
        <v>372</v>
      </c>
      <c r="J80" s="2">
        <v>19362.03</v>
      </c>
      <c r="K80" s="2">
        <v>1936.2</v>
      </c>
      <c r="L80" s="2">
        <v>4259.6499999999996</v>
      </c>
      <c r="M80" s="2">
        <v>10</v>
      </c>
    </row>
    <row r="81" spans="5:13" x14ac:dyDescent="0.3">
      <c r="E81">
        <f>SUM(E5:E80)</f>
        <v>3265.8800000000006</v>
      </c>
      <c r="F81">
        <f t="shared" ref="F81:M81" si="0">SUM(F5:F80)</f>
        <v>3016.8799999999997</v>
      </c>
      <c r="G81">
        <f t="shared" si="0"/>
        <v>127.15</v>
      </c>
      <c r="H81">
        <f t="shared" si="0"/>
        <v>10170</v>
      </c>
      <c r="I81">
        <f t="shared" si="0"/>
        <v>12201.900000000003</v>
      </c>
      <c r="J81">
        <f t="shared" si="0"/>
        <v>643216.03</v>
      </c>
      <c r="K81">
        <f t="shared" si="0"/>
        <v>33128.9</v>
      </c>
      <c r="L81">
        <f t="shared" si="0"/>
        <v>135268.98000000001</v>
      </c>
      <c r="M81">
        <f t="shared" si="0"/>
        <v>385</v>
      </c>
    </row>
    <row r="83" spans="5:13" x14ac:dyDescent="0.3">
      <c r="F83" s="6">
        <f>E81/F81</f>
        <v>1.0825355996923978</v>
      </c>
    </row>
    <row r="85" spans="5:13" x14ac:dyDescent="0.3">
      <c r="G85" s="8" t="s">
        <v>179</v>
      </c>
      <c r="H85" s="8" t="s">
        <v>180</v>
      </c>
      <c r="I85" s="8" t="s">
        <v>181</v>
      </c>
      <c r="J85" s="8" t="s">
        <v>182</v>
      </c>
      <c r="K85" s="8" t="s">
        <v>183</v>
      </c>
      <c r="L85" s="8" t="s">
        <v>184</v>
      </c>
      <c r="M85" s="8" t="s">
        <v>185</v>
      </c>
    </row>
    <row r="86" spans="5:13" x14ac:dyDescent="0.3">
      <c r="G86" s="9">
        <v>623854</v>
      </c>
      <c r="H86" s="10">
        <v>5</v>
      </c>
      <c r="I86" s="9">
        <v>31192.7</v>
      </c>
      <c r="J86" s="11"/>
      <c r="K86" s="11"/>
      <c r="L86" s="11" t="s">
        <v>186</v>
      </c>
      <c r="M86" s="9">
        <v>131009.34</v>
      </c>
    </row>
    <row r="87" spans="5:13" x14ac:dyDescent="0.3">
      <c r="G87" s="9">
        <v>19362.03</v>
      </c>
      <c r="H87" s="10">
        <v>10</v>
      </c>
      <c r="I87" s="9">
        <v>1936.2</v>
      </c>
      <c r="J87" s="11"/>
      <c r="K87" s="11"/>
      <c r="L87" s="11" t="s">
        <v>186</v>
      </c>
      <c r="M87" s="9">
        <v>4259.6499999999996</v>
      </c>
    </row>
    <row r="88" spans="5:13" x14ac:dyDescent="0.3">
      <c r="G88" s="12">
        <f>SUM(G86:G87)</f>
        <v>643216.03</v>
      </c>
      <c r="H88" s="12">
        <f t="shared" ref="H88:M88" si="1">SUM(H86:H87)</f>
        <v>15</v>
      </c>
      <c r="I88" s="12">
        <f t="shared" si="1"/>
        <v>33128.9</v>
      </c>
      <c r="J88" s="12">
        <f t="shared" si="1"/>
        <v>0</v>
      </c>
      <c r="K88" s="12">
        <f t="shared" si="1"/>
        <v>0</v>
      </c>
      <c r="L88" s="12">
        <f t="shared" si="1"/>
        <v>0</v>
      </c>
      <c r="M88" s="12">
        <f t="shared" si="1"/>
        <v>135268.99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2026-07-20T16:37:40Z</dcterms:created>
  <dcterms:modified xsi:type="dcterms:W3CDTF">2026-07-21T13:32:36Z</dcterms:modified>
</cp:coreProperties>
</file>